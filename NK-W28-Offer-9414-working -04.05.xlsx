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NK-W28\NK-W28-SMS-OFFERS\9414\"/>
    </mc:Choice>
  </mc:AlternateContent>
  <bookViews>
    <workbookView xWindow="0" yWindow="0" windowWidth="28800" windowHeight="12210" activeTab="1"/>
  </bookViews>
  <sheets>
    <sheet name="STYLE WISE FABRIC WORKING-MD" sheetId="4" r:id="rId1"/>
    <sheet name="NK-W28-9414-Final SMS PO detail" sheetId="5" r:id="rId2"/>
    <sheet name="STYLE WISE FABRIC WORKING" sheetId="2" r:id="rId3"/>
    <sheet name="Lab dips-2909" sheetId="3" r:id="rId4"/>
  </sheets>
  <definedNames>
    <definedName name="_xlnm._FilterDatabase" localSheetId="1" hidden="1">'NK-W28-9414-Final SMS PO detail'!$B$2:$P$47</definedName>
    <definedName name="_xlnm._FilterDatabase" localSheetId="2" hidden="1">'STYLE WISE FABRIC WORKING'!$B$2:$P$64</definedName>
    <definedName name="_xlnm._FilterDatabase" localSheetId="0" hidden="1">'STYLE WISE FABRIC WORKING-MD'!$B$2:$P$51</definedName>
    <definedName name="_xlnm.Print_Area" localSheetId="1">'NK-W28-9414-Final SMS PO detail'!$A$1:$BM$57</definedName>
    <definedName name="_xlnm.Print_Area" localSheetId="2">'STYLE WISE FABRIC WORKING'!$A$1:$BP$68</definedName>
    <definedName name="_xlnm.Print_Area" localSheetId="0">'STYLE WISE FABRIC WORKING-MD'!$A$1:$BP$55</definedName>
    <definedName name="_xlnm.Print_Titles" localSheetId="1">'NK-W28-9414-Final SMS PO detail'!$A:$F</definedName>
    <definedName name="_xlnm.Print_Titles" localSheetId="2">'STYLE WISE FABRIC WORKING'!$A:$F</definedName>
    <definedName name="_xlnm.Print_Titles" localSheetId="0">'STYLE WISE FABRIC WORKING-MD'!$A:$F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7" i="5" l="1"/>
  <c r="AE57" i="5" s="1"/>
  <c r="P57" i="5"/>
  <c r="AL56" i="5"/>
  <c r="Q56" i="5"/>
  <c r="U54" i="5"/>
  <c r="AE54" i="5" s="1"/>
  <c r="AF54" i="5" s="1"/>
  <c r="P54" i="5"/>
  <c r="AL53" i="5"/>
  <c r="Q53" i="5"/>
  <c r="AL52" i="5"/>
  <c r="P52" i="5"/>
  <c r="U47" i="5"/>
  <c r="AE47" i="5" s="1"/>
  <c r="P47" i="5"/>
  <c r="U45" i="5"/>
  <c r="AE45" i="5" s="1"/>
  <c r="P45" i="5"/>
  <c r="U44" i="5"/>
  <c r="U43" i="5"/>
  <c r="P43" i="5"/>
  <c r="U41" i="5"/>
  <c r="AE41" i="5" s="1"/>
  <c r="AF41" i="5" s="1"/>
  <c r="P41" i="5"/>
  <c r="U40" i="5"/>
  <c r="U39" i="5"/>
  <c r="P39" i="5"/>
  <c r="U37" i="5"/>
  <c r="AE37" i="5" s="1"/>
  <c r="P37" i="5"/>
  <c r="U36" i="5"/>
  <c r="AE36" i="5" s="1"/>
  <c r="P36" i="5"/>
  <c r="U35" i="5"/>
  <c r="U34" i="5"/>
  <c r="P34" i="5"/>
  <c r="U32" i="5"/>
  <c r="AE32" i="5" s="1"/>
  <c r="AF32" i="5" s="1"/>
  <c r="P32" i="5"/>
  <c r="U31" i="5"/>
  <c r="U30" i="5"/>
  <c r="P30" i="5"/>
  <c r="U28" i="5"/>
  <c r="AE28" i="5" s="1"/>
  <c r="P28" i="5"/>
  <c r="U27" i="5"/>
  <c r="U26" i="5"/>
  <c r="P26" i="5"/>
  <c r="U24" i="5"/>
  <c r="AE24" i="5" s="1"/>
  <c r="AF24" i="5" s="1"/>
  <c r="P24" i="5"/>
  <c r="U23" i="5"/>
  <c r="U22" i="5"/>
  <c r="P22" i="5"/>
  <c r="U20" i="5"/>
  <c r="AE20" i="5" s="1"/>
  <c r="AF20" i="5" s="1"/>
  <c r="P20" i="5"/>
  <c r="U19" i="5"/>
  <c r="U18" i="5"/>
  <c r="P18" i="5"/>
  <c r="AL16" i="5"/>
  <c r="Q16" i="5"/>
  <c r="U15" i="5"/>
  <c r="AE15" i="5" s="1"/>
  <c r="AF15" i="5" s="1"/>
  <c r="P15" i="5"/>
  <c r="AL13" i="5"/>
  <c r="Q13" i="5"/>
  <c r="U12" i="5"/>
  <c r="AE12" i="5" s="1"/>
  <c r="P12" i="5"/>
  <c r="U10" i="5"/>
  <c r="AE10" i="5" s="1"/>
  <c r="P10" i="5"/>
  <c r="U9" i="5"/>
  <c r="U8" i="5"/>
  <c r="P8" i="5"/>
  <c r="U6" i="5"/>
  <c r="AE6" i="5" s="1"/>
  <c r="AF6" i="5" s="1"/>
  <c r="P6" i="5"/>
  <c r="U5" i="5"/>
  <c r="BP4" i="5"/>
  <c r="U4" i="5"/>
  <c r="P4" i="5"/>
  <c r="AE26" i="5" l="1"/>
  <c r="AE34" i="5"/>
  <c r="AE22" i="5"/>
  <c r="AF22" i="5" s="1"/>
  <c r="AK22" i="5" s="1"/>
  <c r="AL22" i="5" s="1"/>
  <c r="AE30" i="5"/>
  <c r="AF30" i="5" s="1"/>
  <c r="AE18" i="5"/>
  <c r="AF18" i="5" s="1"/>
  <c r="AK18" i="5" s="1"/>
  <c r="AL18" i="5" s="1"/>
  <c r="AE43" i="5"/>
  <c r="AF43" i="5" s="1"/>
  <c r="AK43" i="5" s="1"/>
  <c r="AL43" i="5" s="1"/>
  <c r="AE8" i="5"/>
  <c r="AF8" i="5" s="1"/>
  <c r="AK8" i="5" s="1"/>
  <c r="AL8" i="5" s="1"/>
  <c r="AK20" i="5"/>
  <c r="AL20" i="5" s="1"/>
  <c r="AE4" i="5"/>
  <c r="AF4" i="5" s="1"/>
  <c r="AK4" i="5" s="1"/>
  <c r="AL4" i="5" s="1"/>
  <c r="AF36" i="5"/>
  <c r="AK36" i="5" s="1"/>
  <c r="AL36" i="5" s="1"/>
  <c r="AE39" i="5"/>
  <c r="AF39" i="5" s="1"/>
  <c r="AF45" i="5"/>
  <c r="AK45" i="5" s="1"/>
  <c r="AL45" i="5" s="1"/>
  <c r="AF28" i="5"/>
  <c r="AK28" i="5" s="1"/>
  <c r="AL28" i="5" s="1"/>
  <c r="AK15" i="5"/>
  <c r="AF10" i="5"/>
  <c r="AK10" i="5" s="1"/>
  <c r="AL10" i="5" s="1"/>
  <c r="AK32" i="5"/>
  <c r="AL32" i="5" s="1"/>
  <c r="AF26" i="5"/>
  <c r="AK26" i="5" s="1"/>
  <c r="AL26" i="5" s="1"/>
  <c r="AF47" i="5"/>
  <c r="AK47" i="5" s="1"/>
  <c r="AL47" i="5" s="1"/>
  <c r="BG47" i="5" s="1"/>
  <c r="BI47" i="5" s="1"/>
  <c r="BK47" i="5" s="1"/>
  <c r="BM47" i="5" s="1"/>
  <c r="AF12" i="5"/>
  <c r="AK12" i="5" s="1"/>
  <c r="AL12" i="5" s="1"/>
  <c r="BG12" i="5" s="1"/>
  <c r="BI12" i="5" s="1"/>
  <c r="BK12" i="5" s="1"/>
  <c r="BM12" i="5" s="1"/>
  <c r="AK30" i="5"/>
  <c r="AL30" i="5" s="1"/>
  <c r="AF34" i="5"/>
  <c r="AK34" i="5" s="1"/>
  <c r="AL34" i="5" s="1"/>
  <c r="AF37" i="5"/>
  <c r="AK37" i="5" s="1"/>
  <c r="AL37" i="5" s="1"/>
  <c r="AK41" i="5"/>
  <c r="AL41" i="5" s="1"/>
  <c r="AK6" i="5"/>
  <c r="AL6" i="5" s="1"/>
  <c r="AK24" i="5"/>
  <c r="AL24" i="5" s="1"/>
  <c r="AK54" i="5"/>
  <c r="AL54" i="5" s="1"/>
  <c r="BG52" i="5" s="1"/>
  <c r="AF57" i="5"/>
  <c r="AK57" i="5" s="1"/>
  <c r="AL57" i="5" s="1"/>
  <c r="BG56" i="5" s="1"/>
  <c r="AL30" i="2"/>
  <c r="Q30" i="2"/>
  <c r="U29" i="2"/>
  <c r="AE29" i="2" s="1"/>
  <c r="P29" i="2"/>
  <c r="AL27" i="2"/>
  <c r="Q27" i="2"/>
  <c r="U26" i="2"/>
  <c r="AE26" i="2" s="1"/>
  <c r="P26" i="2"/>
  <c r="AL15" i="5" l="1"/>
  <c r="BG15" i="5" s="1"/>
  <c r="BI15" i="5" s="1"/>
  <c r="BK15" i="5" s="1"/>
  <c r="BM15" i="5" s="1"/>
  <c r="BG18" i="5"/>
  <c r="BI18" i="5" s="1"/>
  <c r="BK18" i="5" s="1"/>
  <c r="BM18" i="5" s="1"/>
  <c r="BG8" i="5"/>
  <c r="BI8" i="5" s="1"/>
  <c r="BK8" i="5" s="1"/>
  <c r="BM8" i="5" s="1"/>
  <c r="BG43" i="5"/>
  <c r="BI43" i="5" s="1"/>
  <c r="BK43" i="5" s="1"/>
  <c r="BM43" i="5" s="1"/>
  <c r="BG22" i="5"/>
  <c r="BI22" i="5" s="1"/>
  <c r="BK22" i="5" s="1"/>
  <c r="BM22" i="5" s="1"/>
  <c r="AK39" i="5"/>
  <c r="AL39" i="5" s="1"/>
  <c r="BG39" i="5" s="1"/>
  <c r="BI39" i="5" s="1"/>
  <c r="BK39" i="5" s="1"/>
  <c r="BM39" i="5" s="1"/>
  <c r="BG4" i="5"/>
  <c r="BI4" i="5" s="1"/>
  <c r="BK4" i="5" s="1"/>
  <c r="BM4" i="5" s="1"/>
  <c r="BG30" i="5"/>
  <c r="BI30" i="5" s="1"/>
  <c r="BK30" i="5" s="1"/>
  <c r="BM30" i="5" s="1"/>
  <c r="BH56" i="5"/>
  <c r="BI56" i="5" s="1"/>
  <c r="BK56" i="5" s="1"/>
  <c r="BM56" i="5" s="1"/>
  <c r="BG34" i="5"/>
  <c r="BI34" i="5" s="1"/>
  <c r="BK34" i="5" s="1"/>
  <c r="BM34" i="5" s="1"/>
  <c r="BG26" i="5"/>
  <c r="BI26" i="5" s="1"/>
  <c r="BK26" i="5" s="1"/>
  <c r="BM26" i="5" s="1"/>
  <c r="BH52" i="5"/>
  <c r="BI52" i="5" s="1"/>
  <c r="BK52" i="5" s="1"/>
  <c r="BM52" i="5" s="1"/>
  <c r="AF26" i="2"/>
  <c r="AK26" i="2" s="1"/>
  <c r="AL26" i="2" s="1"/>
  <c r="BG26" i="2" s="1"/>
  <c r="BI26" i="2" s="1"/>
  <c r="BK26" i="2" s="1"/>
  <c r="BM26" i="2" s="1"/>
  <c r="AF29" i="2"/>
  <c r="AK29" i="2" s="1"/>
  <c r="AL29" i="2" s="1"/>
  <c r="BG29" i="2" s="1"/>
  <c r="BI29" i="2" s="1"/>
  <c r="BK29" i="2" s="1"/>
  <c r="BM29" i="2" s="1"/>
  <c r="Q70" i="2"/>
  <c r="AL70" i="2"/>
  <c r="U69" i="2"/>
  <c r="AE69" i="2" s="1"/>
  <c r="P69" i="2"/>
  <c r="AL24" i="2"/>
  <c r="U23" i="2"/>
  <c r="AE23" i="2" s="1"/>
  <c r="Q24" i="2"/>
  <c r="P23" i="2"/>
  <c r="AL21" i="2"/>
  <c r="Q21" i="2"/>
  <c r="U20" i="2"/>
  <c r="AE20" i="2" s="1"/>
  <c r="AF20" i="2" s="1"/>
  <c r="P20" i="2"/>
  <c r="U61" i="4"/>
  <c r="AE61" i="4" s="1"/>
  <c r="P61" i="4"/>
  <c r="AL60" i="4"/>
  <c r="Q60" i="4"/>
  <c r="AE58" i="4"/>
  <c r="AF58" i="4" s="1"/>
  <c r="AK58" i="4" s="1"/>
  <c r="AL58" i="4" s="1"/>
  <c r="U58" i="4"/>
  <c r="P58" i="4"/>
  <c r="AL57" i="4"/>
  <c r="Q57" i="4"/>
  <c r="AL56" i="4"/>
  <c r="P56" i="4"/>
  <c r="AL54" i="4"/>
  <c r="Q54" i="4"/>
  <c r="AL53" i="4"/>
  <c r="BG53" i="4" s="1"/>
  <c r="AF53" i="4"/>
  <c r="AE53" i="4"/>
  <c r="P53" i="4"/>
  <c r="U51" i="4"/>
  <c r="AE51" i="4" s="1"/>
  <c r="P51" i="4"/>
  <c r="U49" i="4"/>
  <c r="AE49" i="4" s="1"/>
  <c r="P49" i="4"/>
  <c r="U48" i="4"/>
  <c r="U47" i="4"/>
  <c r="AE47" i="4" s="1"/>
  <c r="P47" i="4"/>
  <c r="U45" i="4"/>
  <c r="AE45" i="4" s="1"/>
  <c r="P45" i="4"/>
  <c r="U44" i="4"/>
  <c r="U43" i="4"/>
  <c r="AE43" i="4" s="1"/>
  <c r="P43" i="4"/>
  <c r="U41" i="4"/>
  <c r="AE41" i="4" s="1"/>
  <c r="P41" i="4"/>
  <c r="U40" i="4"/>
  <c r="AE40" i="4" s="1"/>
  <c r="P40" i="4"/>
  <c r="U39" i="4"/>
  <c r="U38" i="4"/>
  <c r="AE38" i="4" s="1"/>
  <c r="P38" i="4"/>
  <c r="U36" i="4"/>
  <c r="AE36" i="4" s="1"/>
  <c r="P36" i="4"/>
  <c r="U35" i="4"/>
  <c r="U34" i="4"/>
  <c r="AE34" i="4" s="1"/>
  <c r="P34" i="4"/>
  <c r="U32" i="4"/>
  <c r="AE32" i="4" s="1"/>
  <c r="P32" i="4"/>
  <c r="U31" i="4"/>
  <c r="U30" i="4"/>
  <c r="AE30" i="4" s="1"/>
  <c r="P30" i="4"/>
  <c r="U27" i="4"/>
  <c r="AE27" i="4" s="1"/>
  <c r="P27" i="4"/>
  <c r="U26" i="4"/>
  <c r="U25" i="4"/>
  <c r="AE25" i="4" s="1"/>
  <c r="P25" i="4"/>
  <c r="AE23" i="4"/>
  <c r="U23" i="4"/>
  <c r="P23" i="4"/>
  <c r="U22" i="4"/>
  <c r="U21" i="4"/>
  <c r="AE21" i="4" s="1"/>
  <c r="P21" i="4"/>
  <c r="AL18" i="4"/>
  <c r="Q18" i="4"/>
  <c r="U17" i="4"/>
  <c r="AL16" i="4"/>
  <c r="BG16" i="4" s="1"/>
  <c r="P16" i="4"/>
  <c r="AL13" i="4"/>
  <c r="Q13" i="4"/>
  <c r="U12" i="4"/>
  <c r="AE12" i="4" s="1"/>
  <c r="P12" i="4"/>
  <c r="AE10" i="4"/>
  <c r="AF10" i="4" s="1"/>
  <c r="AK10" i="4" s="1"/>
  <c r="AL10" i="4" s="1"/>
  <c r="U10" i="4"/>
  <c r="P10" i="4"/>
  <c r="U9" i="4"/>
  <c r="AE8" i="4"/>
  <c r="U8" i="4"/>
  <c r="P8" i="4"/>
  <c r="U6" i="4"/>
  <c r="AE6" i="4" s="1"/>
  <c r="P6" i="4"/>
  <c r="U5" i="4"/>
  <c r="BP4" i="4"/>
  <c r="AE4" i="4"/>
  <c r="AF4" i="4" s="1"/>
  <c r="AK4" i="4" s="1"/>
  <c r="AL4" i="4" s="1"/>
  <c r="U4" i="4"/>
  <c r="P4" i="4"/>
  <c r="BN4" i="5" l="1"/>
  <c r="AF69" i="2"/>
  <c r="AK69" i="2" s="1"/>
  <c r="AL69" i="2" s="1"/>
  <c r="BG69" i="2" s="1"/>
  <c r="BI69" i="2" s="1"/>
  <c r="AF23" i="2"/>
  <c r="AK23" i="2" s="1"/>
  <c r="AL23" i="2" s="1"/>
  <c r="AK20" i="2"/>
  <c r="AL20" i="2" s="1"/>
  <c r="BH53" i="4"/>
  <c r="BI53" i="4" s="1"/>
  <c r="BK53" i="4" s="1"/>
  <c r="BM53" i="4" s="1"/>
  <c r="AF21" i="4"/>
  <c r="AK21" i="4" s="1"/>
  <c r="AL21" i="4" s="1"/>
  <c r="AF34" i="4"/>
  <c r="AK34" i="4" s="1"/>
  <c r="AL34" i="4" s="1"/>
  <c r="BG34" i="4" s="1"/>
  <c r="AK40" i="4"/>
  <c r="AL40" i="4" s="1"/>
  <c r="AF40" i="4"/>
  <c r="AF27" i="4"/>
  <c r="AK27" i="4"/>
  <c r="AL27" i="4" s="1"/>
  <c r="AF47" i="4"/>
  <c r="AK47" i="4"/>
  <c r="AL47" i="4" s="1"/>
  <c r="BG47" i="4" s="1"/>
  <c r="AF41" i="4"/>
  <c r="AK41" i="4" s="1"/>
  <c r="AL41" i="4" s="1"/>
  <c r="BH16" i="4"/>
  <c r="BI16" i="4" s="1"/>
  <c r="BK16" i="4" s="1"/>
  <c r="BM16" i="4" s="1"/>
  <c r="AF30" i="4"/>
  <c r="AK30" i="4" s="1"/>
  <c r="AL30" i="4" s="1"/>
  <c r="AF36" i="4"/>
  <c r="AK36" i="4"/>
  <c r="AL36" i="4" s="1"/>
  <c r="AK43" i="4"/>
  <c r="AL43" i="4" s="1"/>
  <c r="AF43" i="4"/>
  <c r="AF49" i="4"/>
  <c r="AK49" i="4"/>
  <c r="AL49" i="4" s="1"/>
  <c r="AF38" i="4"/>
  <c r="AK38" i="4" s="1"/>
  <c r="AL38" i="4" s="1"/>
  <c r="BG38" i="4" s="1"/>
  <c r="AF6" i="4"/>
  <c r="AK6" i="4"/>
  <c r="AL6" i="4" s="1"/>
  <c r="BG4" i="4" s="1"/>
  <c r="AF25" i="4"/>
  <c r="AK25" i="4"/>
  <c r="AL25" i="4" s="1"/>
  <c r="AF32" i="4"/>
  <c r="AK32" i="4" s="1"/>
  <c r="AL32" i="4" s="1"/>
  <c r="AF51" i="4"/>
  <c r="AK51" i="4" s="1"/>
  <c r="AL51" i="4" s="1"/>
  <c r="BG51" i="4" s="1"/>
  <c r="BG56" i="4"/>
  <c r="AF12" i="4"/>
  <c r="AK12" i="4" s="1"/>
  <c r="AL12" i="4" s="1"/>
  <c r="BG12" i="4" s="1"/>
  <c r="AF45" i="4"/>
  <c r="AK45" i="4" s="1"/>
  <c r="AL45" i="4" s="1"/>
  <c r="AF61" i="4"/>
  <c r="AK61" i="4" s="1"/>
  <c r="AL61" i="4" s="1"/>
  <c r="BG60" i="4" s="1"/>
  <c r="AF8" i="4"/>
  <c r="AK8" i="4" s="1"/>
  <c r="AL8" i="4" s="1"/>
  <c r="BG8" i="4" s="1"/>
  <c r="AF23" i="4"/>
  <c r="AK23" i="4" s="1"/>
  <c r="AL23" i="4" s="1"/>
  <c r="BP4" i="2"/>
  <c r="BK66" i="2"/>
  <c r="BM66" i="2" s="1"/>
  <c r="BG23" i="2" l="1"/>
  <c r="BI23" i="2" s="1"/>
  <c r="BK23" i="2" s="1"/>
  <c r="BM23" i="2" s="1"/>
  <c r="BG20" i="2"/>
  <c r="BI20" i="2" s="1"/>
  <c r="BK20" i="2" s="1"/>
  <c r="BM20" i="2" s="1"/>
  <c r="BK69" i="2"/>
  <c r="BM69" i="2" s="1"/>
  <c r="BI12" i="4"/>
  <c r="BK12" i="4" s="1"/>
  <c r="BM12" i="4" s="1"/>
  <c r="BH12" i="4"/>
  <c r="BH8" i="4"/>
  <c r="BI8" i="4" s="1"/>
  <c r="BK8" i="4" s="1"/>
  <c r="BM8" i="4" s="1"/>
  <c r="BH60" i="4"/>
  <c r="BI60" i="4" s="1"/>
  <c r="BK60" i="4" s="1"/>
  <c r="BM60" i="4" s="1"/>
  <c r="BH4" i="4"/>
  <c r="BI4" i="4" s="1"/>
  <c r="BK4" i="4" s="1"/>
  <c r="BM4" i="4" s="1"/>
  <c r="BG30" i="4"/>
  <c r="BH38" i="4"/>
  <c r="BI38" i="4" s="1"/>
  <c r="BK38" i="4" s="1"/>
  <c r="BM38" i="4" s="1"/>
  <c r="BH34" i="4"/>
  <c r="BI34" i="4"/>
  <c r="BK34" i="4" s="1"/>
  <c r="BM34" i="4" s="1"/>
  <c r="BG21" i="4"/>
  <c r="BH51" i="4"/>
  <c r="BI51" i="4" s="1"/>
  <c r="BK51" i="4" s="1"/>
  <c r="BM51" i="4" s="1"/>
  <c r="BG43" i="4"/>
  <c r="BH47" i="4"/>
  <c r="BI47" i="4" s="1"/>
  <c r="BK47" i="4" s="1"/>
  <c r="BM47" i="4" s="1"/>
  <c r="BH56" i="4"/>
  <c r="BI56" i="4"/>
  <c r="BK56" i="4" s="1"/>
  <c r="BM56" i="4" s="1"/>
  <c r="BG25" i="4"/>
  <c r="U76" i="2"/>
  <c r="AE76" i="2" s="1"/>
  <c r="P76" i="2"/>
  <c r="AL75" i="2"/>
  <c r="AL78" i="2"/>
  <c r="U79" i="2"/>
  <c r="AE79" i="2" s="1"/>
  <c r="AF79" i="2" s="1"/>
  <c r="AK79" i="2" s="1"/>
  <c r="AL79" i="2" s="1"/>
  <c r="P79" i="2"/>
  <c r="Q78" i="2"/>
  <c r="AL74" i="2"/>
  <c r="Q75" i="2"/>
  <c r="P74" i="2"/>
  <c r="BH30" i="4" l="1"/>
  <c r="BI30" i="4" s="1"/>
  <c r="BK30" i="4" s="1"/>
  <c r="BM30" i="4" s="1"/>
  <c r="BH21" i="4"/>
  <c r="BI21" i="4" s="1"/>
  <c r="BK21" i="4" s="1"/>
  <c r="BM21" i="4" s="1"/>
  <c r="BH43" i="4"/>
  <c r="BI43" i="4" s="1"/>
  <c r="BK43" i="4" s="1"/>
  <c r="BM43" i="4" s="1"/>
  <c r="BH25" i="4"/>
  <c r="BI25" i="4" s="1"/>
  <c r="BK25" i="4" s="1"/>
  <c r="BM25" i="4" s="1"/>
  <c r="AF76" i="2"/>
  <c r="AK76" i="2"/>
  <c r="AL76" i="2" s="1"/>
  <c r="BG74" i="2" s="1"/>
  <c r="BG78" i="2"/>
  <c r="BH78" i="2" s="1"/>
  <c r="BN4" i="4" l="1"/>
  <c r="BH74" i="2"/>
  <c r="BI74" i="2" s="1"/>
  <c r="BK74" i="2" s="1"/>
  <c r="BM74" i="2" s="1"/>
  <c r="BI78" i="2"/>
  <c r="BK78" i="2" s="1"/>
  <c r="BM78" i="2" s="1"/>
  <c r="AL13" i="2"/>
  <c r="Q13" i="2"/>
  <c r="U12" i="2"/>
  <c r="AE12" i="2" s="1"/>
  <c r="AF12" i="2" s="1"/>
  <c r="P12" i="2"/>
  <c r="AL67" i="2"/>
  <c r="AE66" i="2"/>
  <c r="AF66" i="2" s="1"/>
  <c r="Q67" i="2"/>
  <c r="P66" i="2"/>
  <c r="P16" i="2"/>
  <c r="U17" i="2"/>
  <c r="AL18" i="2"/>
  <c r="Q18" i="2"/>
  <c r="AK12" i="2" l="1"/>
  <c r="AL12" i="2" s="1"/>
  <c r="AL66" i="2"/>
  <c r="BG66" i="2" s="1"/>
  <c r="BH66" i="2" s="1"/>
  <c r="BG12" i="2" l="1"/>
  <c r="BI12" i="2" s="1"/>
  <c r="BI66" i="2"/>
  <c r="U62" i="2"/>
  <c r="AE62" i="2" s="1"/>
  <c r="P62" i="2"/>
  <c r="U61" i="2"/>
  <c r="U60" i="2"/>
  <c r="P60" i="2"/>
  <c r="U58" i="2"/>
  <c r="AE58" i="2" s="1"/>
  <c r="P58" i="2"/>
  <c r="U57" i="2"/>
  <c r="U56" i="2"/>
  <c r="P56" i="2"/>
  <c r="U54" i="2"/>
  <c r="AE54" i="2" s="1"/>
  <c r="P54" i="2"/>
  <c r="U53" i="2"/>
  <c r="AE53" i="2" s="1"/>
  <c r="P53" i="2"/>
  <c r="U52" i="2"/>
  <c r="U51" i="2"/>
  <c r="P51" i="2"/>
  <c r="U45" i="2"/>
  <c r="AE45" i="2" s="1"/>
  <c r="P45" i="2"/>
  <c r="U44" i="2"/>
  <c r="U43" i="2"/>
  <c r="P43" i="2"/>
  <c r="BK12" i="2" l="1"/>
  <c r="BM12" i="2" s="1"/>
  <c r="AL16" i="2"/>
  <c r="BG16" i="2" s="1"/>
  <c r="BH16" i="2" s="1"/>
  <c r="AE43" i="2"/>
  <c r="AF43" i="2" s="1"/>
  <c r="AK43" i="2" s="1"/>
  <c r="AL43" i="2" s="1"/>
  <c r="AE56" i="2"/>
  <c r="AF56" i="2" s="1"/>
  <c r="AK56" i="2" s="1"/>
  <c r="AL56" i="2" s="1"/>
  <c r="AE51" i="2"/>
  <c r="AF51" i="2" s="1"/>
  <c r="AK51" i="2" s="1"/>
  <c r="AL51" i="2" s="1"/>
  <c r="AE60" i="2"/>
  <c r="AF60" i="2" s="1"/>
  <c r="AK60" i="2" s="1"/>
  <c r="AL60" i="2" s="1"/>
  <c r="AF62" i="2"/>
  <c r="AK62" i="2" s="1"/>
  <c r="AL62" i="2" s="1"/>
  <c r="AF58" i="2"/>
  <c r="AK58" i="2" s="1"/>
  <c r="AL58" i="2" s="1"/>
  <c r="AF54" i="2"/>
  <c r="AK54" i="2" s="1"/>
  <c r="AL54" i="2" s="1"/>
  <c r="AF53" i="2"/>
  <c r="AK53" i="2" s="1"/>
  <c r="AL53" i="2" s="1"/>
  <c r="AF45" i="2"/>
  <c r="AK45" i="2" s="1"/>
  <c r="AL45" i="2" s="1"/>
  <c r="BI16" i="2" l="1"/>
  <c r="BK16" i="2" s="1"/>
  <c r="BM16" i="2" s="1"/>
  <c r="BG56" i="2"/>
  <c r="BG60" i="2"/>
  <c r="BG51" i="2"/>
  <c r="BI51" i="2" s="1"/>
  <c r="BG43" i="2"/>
  <c r="BI43" i="2" s="1"/>
  <c r="BI60" i="2" l="1"/>
  <c r="BK60" i="2" s="1"/>
  <c r="BM60" i="2" s="1"/>
  <c r="BI56" i="2"/>
  <c r="BK56" i="2" s="1"/>
  <c r="BM56" i="2" s="1"/>
  <c r="BK51" i="2"/>
  <c r="BM51" i="2" s="1"/>
  <c r="BK43" i="2"/>
  <c r="BM43" i="2" s="1"/>
  <c r="U64" i="2" l="1"/>
  <c r="AE64" i="2" s="1"/>
  <c r="AF64" i="2" s="1"/>
  <c r="AK64" i="2" s="1"/>
  <c r="AL64" i="2" s="1"/>
  <c r="BG64" i="2" s="1"/>
  <c r="BI64" i="2" s="1"/>
  <c r="P64" i="2"/>
  <c r="U36" i="2"/>
  <c r="AE36" i="2" s="1"/>
  <c r="AF36" i="2" s="1"/>
  <c r="AK36" i="2" s="1"/>
  <c r="AL36" i="2" s="1"/>
  <c r="U35" i="2"/>
  <c r="U10" i="2"/>
  <c r="AE10" i="2" s="1"/>
  <c r="U9" i="2"/>
  <c r="U8" i="2"/>
  <c r="P10" i="2"/>
  <c r="P8" i="2"/>
  <c r="U6" i="2"/>
  <c r="AE6" i="2" s="1"/>
  <c r="P6" i="2"/>
  <c r="U5" i="2"/>
  <c r="U4" i="2"/>
  <c r="P4" i="2"/>
  <c r="AE8" i="2" l="1"/>
  <c r="AF8" i="2" s="1"/>
  <c r="AK8" i="2" s="1"/>
  <c r="AL8" i="2" s="1"/>
  <c r="AE4" i="2"/>
  <c r="AF4" i="2" s="1"/>
  <c r="AK4" i="2" s="1"/>
  <c r="AL4" i="2" s="1"/>
  <c r="BK64" i="2"/>
  <c r="BM64" i="2" s="1"/>
  <c r="AF10" i="2"/>
  <c r="AK10" i="2" s="1"/>
  <c r="AL10" i="2" s="1"/>
  <c r="AF6" i="2"/>
  <c r="AK6" i="2" s="1"/>
  <c r="AL6" i="2" s="1"/>
  <c r="U49" i="2"/>
  <c r="AE49" i="2" s="1"/>
  <c r="U48" i="2"/>
  <c r="U47" i="2"/>
  <c r="P49" i="2"/>
  <c r="P47" i="2"/>
  <c r="U40" i="2"/>
  <c r="AE40" i="2" s="1"/>
  <c r="U39" i="2"/>
  <c r="U38" i="2"/>
  <c r="P40" i="2"/>
  <c r="P38" i="2"/>
  <c r="BG4" i="2" l="1"/>
  <c r="BI4" i="2" s="1"/>
  <c r="BG8" i="2"/>
  <c r="BI8" i="2" s="1"/>
  <c r="AE47" i="2"/>
  <c r="AF47" i="2" s="1"/>
  <c r="AK47" i="2" s="1"/>
  <c r="AL47" i="2" s="1"/>
  <c r="AE38" i="2"/>
  <c r="AF38" i="2" s="1"/>
  <c r="AK38" i="2" s="1"/>
  <c r="AL38" i="2" s="1"/>
  <c r="AF49" i="2"/>
  <c r="AK49" i="2" s="1"/>
  <c r="AL49" i="2" s="1"/>
  <c r="AF40" i="2"/>
  <c r="AK40" i="2" s="1"/>
  <c r="AL40" i="2" s="1"/>
  <c r="U34" i="2"/>
  <c r="AE34" i="2" s="1"/>
  <c r="P36" i="2"/>
  <c r="P34" i="2"/>
  <c r="BK4" i="2" l="1"/>
  <c r="BM4" i="2" s="1"/>
  <c r="BG38" i="2"/>
  <c r="BI38" i="2" s="1"/>
  <c r="BK8" i="2"/>
  <c r="BM8" i="2" s="1"/>
  <c r="AF34" i="2"/>
  <c r="BG47" i="2"/>
  <c r="BI47" i="2" s="1"/>
  <c r="AK34" i="2" l="1"/>
  <c r="AL34" i="2" s="1"/>
  <c r="BG34" i="2" s="1"/>
  <c r="BI34" i="2" s="1"/>
  <c r="BK47" i="2"/>
  <c r="BM47" i="2" s="1"/>
  <c r="BK38" i="2"/>
  <c r="BM38" i="2" s="1"/>
  <c r="BK34" i="2" l="1"/>
  <c r="BM34" i="2" s="1"/>
  <c r="BN4" i="2" l="1"/>
</calcChain>
</file>

<file path=xl/sharedStrings.xml><?xml version="1.0" encoding="utf-8"?>
<sst xmlns="http://schemas.openxmlformats.org/spreadsheetml/2006/main" count="1298" uniqueCount="207">
  <si>
    <t>Kng</t>
  </si>
  <si>
    <t>HS</t>
  </si>
  <si>
    <t>ST</t>
  </si>
  <si>
    <t>OWC</t>
  </si>
  <si>
    <t xml:space="preserve">Fabric </t>
  </si>
  <si>
    <t xml:space="preserve">Code </t>
  </si>
  <si>
    <t>Colour</t>
  </si>
  <si>
    <t>Quality</t>
  </si>
  <si>
    <t>GSM</t>
  </si>
  <si>
    <t xml:space="preserve">Composition </t>
  </si>
  <si>
    <t xml:space="preserve">Style# </t>
  </si>
  <si>
    <t>Season</t>
  </si>
  <si>
    <t>Description</t>
  </si>
  <si>
    <t>type</t>
  </si>
  <si>
    <t>AOP REF</t>
  </si>
  <si>
    <t>Qty</t>
  </si>
  <si>
    <t>Reqd Qty</t>
  </si>
  <si>
    <t>RIB</t>
  </si>
  <si>
    <t>SINGLE JERSEY</t>
  </si>
  <si>
    <t>Offer</t>
  </si>
  <si>
    <t xml:space="preserve">s.no. </t>
  </si>
  <si>
    <t xml:space="preserve">PANTONE # </t>
  </si>
  <si>
    <t>FABRIC</t>
  </si>
  <si>
    <t>COMPOSITION</t>
  </si>
  <si>
    <t>Processing route</t>
  </si>
  <si>
    <t>Lab ref #</t>
  </si>
  <si>
    <t>Bulk</t>
  </si>
  <si>
    <t>woven</t>
  </si>
  <si>
    <t xml:space="preserve">Pc wt </t>
  </si>
  <si>
    <t>meters</t>
  </si>
  <si>
    <t>Bulk fabric</t>
  </si>
  <si>
    <t>Woven</t>
  </si>
  <si>
    <t>qty</t>
  </si>
  <si>
    <t xml:space="preserve">sent on </t>
  </si>
  <si>
    <t xml:space="preserve">Approved Option </t>
  </si>
  <si>
    <t xml:space="preserve">on </t>
  </si>
  <si>
    <t>rev Lab #</t>
  </si>
  <si>
    <t xml:space="preserve">Approved option &amp; dt  </t>
  </si>
  <si>
    <t>W28</t>
  </si>
  <si>
    <t>SOLID</t>
  </si>
  <si>
    <t>BODY</t>
  </si>
  <si>
    <t xml:space="preserve">Yarn </t>
  </si>
  <si>
    <t>Count</t>
  </si>
  <si>
    <t>BR</t>
  </si>
  <si>
    <t>SHURING</t>
  </si>
  <si>
    <t>TTL COST</t>
  </si>
  <si>
    <t>PR LOSS</t>
  </si>
  <si>
    <t xml:space="preserve">FINAL PRICE </t>
  </si>
  <si>
    <t xml:space="preserve">FABRIC </t>
  </si>
  <si>
    <t>Consumption</t>
  </si>
  <si>
    <t>Garment fabric</t>
  </si>
  <si>
    <t xml:space="preserve">CMT </t>
  </si>
  <si>
    <t>ACC</t>
  </si>
  <si>
    <t xml:space="preserve">FOB </t>
  </si>
  <si>
    <t>CRR</t>
  </si>
  <si>
    <t xml:space="preserve">FLAG </t>
  </si>
  <si>
    <t>TISSUE</t>
  </si>
  <si>
    <t>PRINT-1</t>
  </si>
  <si>
    <t>PRINT-2</t>
  </si>
  <si>
    <t>ELASTIC</t>
  </si>
  <si>
    <t>PR.LOSS</t>
  </si>
  <si>
    <t>GARMENT</t>
  </si>
  <si>
    <t xml:space="preserve">Value </t>
  </si>
  <si>
    <t>FCY-USD</t>
  </si>
  <si>
    <t>34'S</t>
  </si>
  <si>
    <t>20'S</t>
  </si>
  <si>
    <t>GUM</t>
  </si>
  <si>
    <t>AOP</t>
  </si>
  <si>
    <t>WASHING</t>
  </si>
  <si>
    <t xml:space="preserve">aop pr </t>
  </si>
  <si>
    <t>loss</t>
  </si>
  <si>
    <t>LBL-FL</t>
  </si>
  <si>
    <t>EMB-1</t>
  </si>
  <si>
    <t>EMB-2</t>
  </si>
  <si>
    <t>EMB-3</t>
  </si>
  <si>
    <t xml:space="preserve">NET </t>
  </si>
  <si>
    <t>VALUE</t>
  </si>
  <si>
    <t xml:space="preserve">TTL </t>
  </si>
  <si>
    <t xml:space="preserve">Iron </t>
  </si>
  <si>
    <t>Interlining</t>
  </si>
  <si>
    <t>NK-280G75CO25</t>
  </si>
  <si>
    <t>JET BLACK-19-0303TPG</t>
  </si>
  <si>
    <t xml:space="preserve">BRUSHED FLEECE 3 THREADS </t>
  </si>
  <si>
    <t>75%CO, 25%POLYESTER</t>
  </si>
  <si>
    <t>CONSUME %</t>
  </si>
  <si>
    <t>Yarn Pr</t>
  </si>
  <si>
    <t>Y.Price</t>
  </si>
  <si>
    <t>S.DYE</t>
  </si>
  <si>
    <t>D.DYE</t>
  </si>
  <si>
    <t>98% COTTON 2%EA</t>
  </si>
  <si>
    <t>Inner</t>
  </si>
  <si>
    <t>Kaja</t>
  </si>
  <si>
    <t>Cord</t>
  </si>
  <si>
    <t xml:space="preserve">tipping </t>
  </si>
  <si>
    <t>KG13D102Q1</t>
  </si>
  <si>
    <t>ATLANTA | DRESS</t>
  </si>
  <si>
    <t>19-1521 TPG</t>
  </si>
  <si>
    <t xml:space="preserve">Hood lining </t>
  </si>
  <si>
    <t>NK-FB180COM</t>
  </si>
  <si>
    <t>BRUSHED FLEECE 3 THREADS</t>
  </si>
  <si>
    <t>2*2RIB</t>
  </si>
  <si>
    <t>KG13P102Q1</t>
  </si>
  <si>
    <t>AKITA | PANTS</t>
  </si>
  <si>
    <t>NK-RIBGR370</t>
  </si>
  <si>
    <t>KG13S101Q1</t>
  </si>
  <si>
    <t>FULL-ZIP SWEATSHIRT</t>
  </si>
  <si>
    <t>Zip</t>
  </si>
  <si>
    <t>KB13P301X1</t>
  </si>
  <si>
    <t>RIN | JOGGING PANTS</t>
  </si>
  <si>
    <t xml:space="preserve">100% COTTON </t>
  </si>
  <si>
    <t>Gar.dye</t>
  </si>
  <si>
    <t>RFD</t>
  </si>
  <si>
    <t>NK-FBRCGR370</t>
  </si>
  <si>
    <t xml:space="preserve">97% COTTON 3% EA </t>
  </si>
  <si>
    <t>BTNS</t>
  </si>
  <si>
    <t>G.Dye</t>
  </si>
  <si>
    <t>KB13S302X1</t>
  </si>
  <si>
    <t>KENZO | SWEATSHIRT</t>
  </si>
  <si>
    <t>25's</t>
  </si>
  <si>
    <t>KG13T902R2</t>
  </si>
  <si>
    <t>TAMARA | LONGSLEEVE T-SHIRT</t>
  </si>
  <si>
    <t xml:space="preserve">NK-SJ180G955E </t>
  </si>
  <si>
    <t>SINGLE JERSEY WITH EA</t>
  </si>
  <si>
    <t>95% COTTON 5% EA</t>
  </si>
  <si>
    <t>KG13P402N4 -</t>
  </si>
  <si>
    <t>SUSANNA | WIDE LEG PANTS</t>
  </si>
  <si>
    <t>2*2 RIB</t>
  </si>
  <si>
    <t>75%CO, 20%POLYESTER 5% EA</t>
  </si>
  <si>
    <t>KG13S201P4</t>
  </si>
  <si>
    <t>LASKA | SWEATSHIRT</t>
  </si>
  <si>
    <t>NK-BF200SJ</t>
  </si>
  <si>
    <t xml:space="preserve">25'S </t>
  </si>
  <si>
    <t>KG13S401N4</t>
  </si>
  <si>
    <t>FLOWER | SWEATSHIRT</t>
  </si>
  <si>
    <t>KG13S402N4</t>
  </si>
  <si>
    <t>ERLA | FULL-ZIP SWEATSHIRT</t>
  </si>
  <si>
    <t>KG13F902R2</t>
  </si>
  <si>
    <t>MINI SKIRT</t>
  </si>
  <si>
    <t>Interlock plating</t>
  </si>
  <si>
    <t xml:space="preserve">INTERLOCK PLATING </t>
  </si>
  <si>
    <t xml:space="preserve">KNIT NET </t>
  </si>
  <si>
    <t xml:space="preserve">APPLICATION </t>
  </si>
  <si>
    <t xml:space="preserve">100% POLYESTER </t>
  </si>
  <si>
    <t>p.maide</t>
  </si>
  <si>
    <t>KG13T905R2</t>
  </si>
  <si>
    <t>SEREN | TULLE TOP</t>
  </si>
  <si>
    <t>KG13F802X1</t>
  </si>
  <si>
    <t>XENIA | TULLE MIDI SKIRT</t>
  </si>
  <si>
    <t>NK-SJ100C140G</t>
  </si>
  <si>
    <t xml:space="preserve">Body-lining </t>
  </si>
  <si>
    <t>soild</t>
  </si>
  <si>
    <t>34's</t>
  </si>
  <si>
    <t xml:space="preserve">knit net </t>
  </si>
  <si>
    <t xml:space="preserve">application </t>
  </si>
  <si>
    <t>100% polyester</t>
  </si>
  <si>
    <t>Buyer Target</t>
  </si>
  <si>
    <t>Finally confirmed</t>
  </si>
  <si>
    <t xml:space="preserve"> 18-1654 TPG</t>
  </si>
  <si>
    <t>Krillo</t>
  </si>
  <si>
    <t>Average</t>
  </si>
  <si>
    <t>Buyer average</t>
  </si>
  <si>
    <t>%</t>
  </si>
  <si>
    <t>LT NAVY 19-3921 TPG</t>
  </si>
  <si>
    <t xml:space="preserve">APPLIC </t>
  </si>
  <si>
    <t>NK-BLACK IRIS19-3921TPG</t>
  </si>
  <si>
    <t>NK-HEAVENLY PINK12-1305TPG</t>
  </si>
  <si>
    <t>HS, S/Dyeig, ST and OWC</t>
  </si>
  <si>
    <t>S/Dyeig, ST and OWC</t>
  </si>
  <si>
    <t>D/Dyeing, ST, BR and OWC</t>
  </si>
  <si>
    <t>S/Dyeing, ST, BR and OWC</t>
  </si>
  <si>
    <t>Lab dip details -9414</t>
  </si>
  <si>
    <t>NK-HEAVENLY PINK-12-1305TPG</t>
  </si>
  <si>
    <t>RF</t>
  </si>
  <si>
    <t>W28-9311AVL</t>
  </si>
  <si>
    <t>VELVET AND TULLE DRESS</t>
  </si>
  <si>
    <t>Poly/EA Velvet</t>
  </si>
  <si>
    <t xml:space="preserve">94% Poly 6% EA </t>
  </si>
  <si>
    <t>W28-9303AAC</t>
  </si>
  <si>
    <t>WOVEN SKIRT</t>
  </si>
  <si>
    <t>EW28905-1c</t>
  </si>
  <si>
    <t>NK-BF160GR</t>
  </si>
  <si>
    <t xml:space="preserve">Lining </t>
  </si>
  <si>
    <t>30'S</t>
  </si>
  <si>
    <t>COVERSEAM</t>
  </si>
  <si>
    <t>67%VISCOSE, 28% POLYAMIDE, 5%EA</t>
  </si>
  <si>
    <t>exchange</t>
  </si>
  <si>
    <t>4a</t>
  </si>
  <si>
    <t>4b</t>
  </si>
  <si>
    <t>SINGEL JERSEY WITH EA</t>
  </si>
  <si>
    <t>95% Cotton 5%^ EA</t>
  </si>
  <si>
    <t>25'S</t>
  </si>
  <si>
    <t>13a</t>
  </si>
  <si>
    <t>4c</t>
  </si>
  <si>
    <t>4d</t>
  </si>
  <si>
    <t>Composition</t>
  </si>
  <si>
    <t>Garment Price</t>
  </si>
  <si>
    <t>100% Coton</t>
  </si>
  <si>
    <t xml:space="preserve">Lining Fabric </t>
  </si>
  <si>
    <t xml:space="preserve">KG13F902R2-Mini Skit </t>
  </si>
  <si>
    <t xml:space="preserve">SINGLE JERSEY WITH EA </t>
  </si>
  <si>
    <t xml:space="preserve">95% COTTON 5% EA </t>
  </si>
  <si>
    <t>KG13T905R2-Tulle Top</t>
  </si>
  <si>
    <t>Polyester with EA Velvet</t>
  </si>
  <si>
    <t>JET BLACK -                       19-0303TPG</t>
  </si>
  <si>
    <t>JET BLACK -            19-0303TPG</t>
  </si>
  <si>
    <t>NK-BLACK IRIS-   19-3921TPG</t>
  </si>
  <si>
    <t>NK-BLACK IRIS   19-3921TPG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</si>
</sst>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0.000"/>
    <numFmt numFmtId="165" formatCode="_-[$$-409]* #,##0.00_ ;_-[$$-409]* \-#,##0.00\ ;_-[$$-409]* &quot;-&quot;??_ ;_-@_ "/>
    <numFmt numFmtId="166" formatCode="#,##0.00_ ;\-#,##0.00\ 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656565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0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0" fillId="0" borderId="0" xfId="0" applyAlignment="1">
      <alignment horizontal="center"/>
    </xf>
    <xf numFmtId="0" fontId="3" fillId="0" borderId="3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4" xfId="0" applyBorder="1" applyAlignment="1"/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3" xfId="0" applyFill="1" applyBorder="1"/>
    <xf numFmtId="2" fontId="0" fillId="0" borderId="0" xfId="0" applyNumberFormat="1" applyBorder="1"/>
    <xf numFmtId="2" fontId="0" fillId="0" borderId="4" xfId="0" applyNumberForma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/>
    <xf numFmtId="9" fontId="0" fillId="0" borderId="0" xfId="0" applyNumberFormat="1" applyAlignment="1">
      <alignment horizontal="center"/>
    </xf>
    <xf numFmtId="164" fontId="0" fillId="0" borderId="4" xfId="0" applyNumberFormat="1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0" fillId="0" borderId="0" xfId="0" applyNumberFormat="1" applyBorder="1"/>
    <xf numFmtId="166" fontId="0" fillId="0" borderId="0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center" wrapText="1"/>
    </xf>
    <xf numFmtId="0" fontId="0" fillId="0" borderId="0" xfId="0" applyFill="1" applyBorder="1" applyAlignment="1">
      <alignment horizontal="center"/>
    </xf>
    <xf numFmtId="166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2" applyNumberFormat="1" applyFont="1" applyAlignment="1">
      <alignment vertical="center"/>
    </xf>
    <xf numFmtId="0" fontId="2" fillId="0" borderId="0" xfId="0" applyFont="1" applyFill="1"/>
    <xf numFmtId="0" fontId="0" fillId="0" borderId="1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49" fontId="0" fillId="0" borderId="0" xfId="0" applyNumberFormat="1"/>
    <xf numFmtId="9" fontId="0" fillId="0" borderId="0" xfId="2" applyFont="1" applyAlignment="1">
      <alignment vertical="center"/>
    </xf>
    <xf numFmtId="165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5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left"/>
    </xf>
    <xf numFmtId="164" fontId="0" fillId="0" borderId="6" xfId="0" applyNumberFormat="1" applyBorder="1"/>
    <xf numFmtId="164" fontId="0" fillId="0" borderId="6" xfId="0" applyNumberFormat="1" applyFill="1" applyBorder="1"/>
    <xf numFmtId="0" fontId="0" fillId="0" borderId="7" xfId="0" applyBorder="1"/>
    <xf numFmtId="166" fontId="0" fillId="0" borderId="6" xfId="1" applyNumberFormat="1" applyFont="1" applyBorder="1" applyAlignment="1">
      <alignment horizontal="center"/>
    </xf>
    <xf numFmtId="2" fontId="0" fillId="0" borderId="6" xfId="0" applyNumberFormat="1" applyBorder="1"/>
    <xf numFmtId="0" fontId="0" fillId="0" borderId="6" xfId="0" applyFill="1" applyBorder="1" applyAlignment="1">
      <alignment horizontal="center"/>
    </xf>
    <xf numFmtId="2" fontId="0" fillId="0" borderId="8" xfId="0" applyNumberFormat="1" applyBorder="1"/>
    <xf numFmtId="2" fontId="0" fillId="0" borderId="6" xfId="0" applyNumberFormat="1" applyBorder="1" applyAlignment="1">
      <alignment vertical="center"/>
    </xf>
    <xf numFmtId="9" fontId="0" fillId="0" borderId="6" xfId="2" applyFont="1" applyBorder="1" applyAlignment="1">
      <alignment vertical="center"/>
    </xf>
    <xf numFmtId="9" fontId="0" fillId="0" borderId="6" xfId="2" applyNumberFormat="1" applyFont="1" applyBorder="1" applyAlignment="1">
      <alignment vertical="center"/>
    </xf>
    <xf numFmtId="165" fontId="0" fillId="0" borderId="9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horizontal="left"/>
    </xf>
    <xf numFmtId="164" fontId="0" fillId="0" borderId="0" xfId="0" applyNumberFormat="1" applyFill="1" applyBorder="1"/>
    <xf numFmtId="2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65" fontId="0" fillId="0" borderId="11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164" fontId="0" fillId="0" borderId="2" xfId="0" applyNumberFormat="1" applyFill="1" applyBorder="1"/>
    <xf numFmtId="0" fontId="0" fillId="0" borderId="13" xfId="0" applyBorder="1"/>
    <xf numFmtId="166" fontId="0" fillId="0" borderId="2" xfId="1" applyNumberFormat="1" applyFont="1" applyBorder="1" applyAlignment="1">
      <alignment horizontal="center"/>
    </xf>
    <xf numFmtId="2" fontId="0" fillId="0" borderId="2" xfId="0" applyNumberFormat="1" applyBorder="1"/>
    <xf numFmtId="2" fontId="0" fillId="0" borderId="14" xfId="0" applyNumberFormat="1" applyBorder="1"/>
    <xf numFmtId="2" fontId="0" fillId="0" borderId="2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Fill="1" applyBorder="1"/>
    <xf numFmtId="166" fontId="0" fillId="0" borderId="6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2" xfId="0" applyBorder="1" applyAlignment="1">
      <alignment vertical="center"/>
    </xf>
    <xf numFmtId="165" fontId="0" fillId="0" borderId="15" xfId="0" applyNumberFormat="1" applyBorder="1" applyAlignment="1">
      <alignment vertical="center"/>
    </xf>
    <xf numFmtId="0" fontId="0" fillId="2" borderId="5" xfId="0" applyFill="1" applyBorder="1" applyAlignment="1">
      <alignment horizontal="center"/>
    </xf>
    <xf numFmtId="1" fontId="0" fillId="0" borderId="6" xfId="0" applyNumberFormat="1" applyBorder="1" applyAlignment="1">
      <alignment vertical="center"/>
    </xf>
    <xf numFmtId="0" fontId="0" fillId="0" borderId="10" xfId="0" applyBorder="1" applyAlignment="1">
      <alignment horizontal="center"/>
    </xf>
    <xf numFmtId="1" fontId="0" fillId="0" borderId="0" xfId="0" applyNumberFormat="1" applyBorder="1" applyAlignment="1">
      <alignment vertic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1" fontId="0" fillId="0" borderId="2" xfId="0" applyNumberFormat="1" applyBorder="1" applyAlignment="1">
      <alignment vertical="center"/>
    </xf>
    <xf numFmtId="2" fontId="0" fillId="0" borderId="2" xfId="0" applyNumberFormat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0" xfId="0" applyFill="1" applyBorder="1" applyAlignment="1">
      <alignment horizontal="left"/>
    </xf>
    <xf numFmtId="0" fontId="0" fillId="0" borderId="12" xfId="0" applyFill="1" applyBorder="1" applyAlignment="1">
      <alignment vertical="center"/>
    </xf>
    <xf numFmtId="0" fontId="0" fillId="0" borderId="2" xfId="0" applyFill="1" applyBorder="1" applyAlignment="1">
      <alignment horizontal="left"/>
    </xf>
    <xf numFmtId="164" fontId="0" fillId="0" borderId="0" xfId="0" applyNumberFormat="1" applyBorder="1"/>
    <xf numFmtId="0" fontId="0" fillId="0" borderId="5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left"/>
    </xf>
    <xf numFmtId="164" fontId="0" fillId="0" borderId="20" xfId="0" applyNumberFormat="1" applyFill="1" applyBorder="1"/>
    <xf numFmtId="0" fontId="0" fillId="0" borderId="21" xfId="0" applyBorder="1"/>
    <xf numFmtId="166" fontId="0" fillId="0" borderId="20" xfId="1" applyNumberFormat="1" applyFont="1" applyBorder="1" applyAlignment="1">
      <alignment horizontal="center"/>
    </xf>
    <xf numFmtId="2" fontId="0" fillId="0" borderId="20" xfId="0" applyNumberFormat="1" applyBorder="1"/>
    <xf numFmtId="0" fontId="0" fillId="0" borderId="20" xfId="0" applyFill="1" applyBorder="1"/>
    <xf numFmtId="2" fontId="0" fillId="0" borderId="22" xfId="0" applyNumberFormat="1" applyBorder="1"/>
    <xf numFmtId="2" fontId="0" fillId="0" borderId="20" xfId="0" applyNumberFormat="1" applyBorder="1" applyAlignment="1">
      <alignment vertical="center"/>
    </xf>
    <xf numFmtId="9" fontId="0" fillId="0" borderId="20" xfId="2" applyFont="1" applyBorder="1" applyAlignment="1">
      <alignment vertical="center"/>
    </xf>
    <xf numFmtId="165" fontId="0" fillId="0" borderId="23" xfId="0" applyNumberForma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17" fontId="0" fillId="0" borderId="6" xfId="0" applyNumberFormat="1" applyBorder="1"/>
    <xf numFmtId="0" fontId="0" fillId="0" borderId="6" xfId="0" applyBorder="1" applyAlignment="1"/>
    <xf numFmtId="0" fontId="0" fillId="0" borderId="6" xfId="0" applyFill="1" applyBorder="1" applyAlignment="1"/>
    <xf numFmtId="0" fontId="0" fillId="0" borderId="8" xfId="0" applyBorder="1" applyAlignment="1"/>
    <xf numFmtId="9" fontId="0" fillId="0" borderId="0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Fill="1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8" xfId="0" applyBorder="1"/>
    <xf numFmtId="0" fontId="0" fillId="0" borderId="6" xfId="0" applyBorder="1" applyAlignment="1">
      <alignment vertical="center"/>
    </xf>
    <xf numFmtId="0" fontId="6" fillId="0" borderId="0" xfId="3" applyFill="1" applyBorder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6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/>
    </xf>
    <xf numFmtId="9" fontId="0" fillId="0" borderId="6" xfId="0" applyNumberFormat="1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</cellXfs>
  <cellStyles count="4">
    <cellStyle name="Comma" xfId="1" builtinId="3"/>
    <cellStyle name="Explanatory Text" xfId="3" builtinId="5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1"/>
  <sheetViews>
    <sheetView zoomScaleNormal="100" workbookViewId="0">
      <pane xSplit="4" ySplit="2" topLeftCell="Q36" activePane="bottomRight" state="frozen"/>
      <selection pane="topRight" activeCell="E1" sqref="E1"/>
      <selection pane="bottomLeft" activeCell="A3" sqref="A3"/>
      <selection pane="bottomRight" activeCell="S53" sqref="S53"/>
    </sheetView>
  </sheetViews>
  <sheetFormatPr defaultRowHeight="15" x14ac:dyDescent="0.25"/>
  <cols>
    <col min="1" max="1" width="5.7109375" style="43" bestFit="1" customWidth="1"/>
    <col min="2" max="2" width="7.42578125" style="43" customWidth="1"/>
    <col min="3" max="3" width="8.140625" style="43" customWidth="1"/>
    <col min="4" max="4" width="13.28515625" customWidth="1"/>
    <col min="5" max="5" width="18.28515625" customWidth="1"/>
    <col min="6" max="6" width="15.28515625" hidden="1" customWidth="1"/>
    <col min="7" max="7" width="13.42578125" hidden="1" customWidth="1"/>
    <col min="8" max="8" width="19.28515625" hidden="1" customWidth="1"/>
    <col min="9" max="9" width="11" hidden="1" customWidth="1"/>
    <col min="10" max="10" width="24.85546875" hidden="1" customWidth="1"/>
    <col min="11" max="11" width="23.85546875" bestFit="1" customWidth="1"/>
    <col min="12" max="12" width="5" bestFit="1" customWidth="1"/>
    <col min="13" max="13" width="8.42578125" bestFit="1" customWidth="1"/>
    <col min="14" max="14" width="8.42578125" customWidth="1"/>
    <col min="15" max="15" width="6.42578125" bestFit="1" customWidth="1"/>
    <col min="16" max="16" width="9.5703125" bestFit="1" customWidth="1"/>
    <col min="17" max="17" width="7.5703125" bestFit="1" customWidth="1"/>
    <col min="18" max="18" width="6.28515625" style="21" bestFit="1" customWidth="1"/>
    <col min="19" max="19" width="7.42578125" style="18" bestFit="1" customWidth="1"/>
    <col min="20" max="20" width="6.5703125" style="18" customWidth="1"/>
    <col min="21" max="21" width="6.5703125" style="18" bestFit="1" customWidth="1"/>
    <col min="22" max="22" width="4.28515625" style="18" bestFit="1" customWidth="1"/>
    <col min="23" max="23" width="4.5703125" style="18" hidden="1" customWidth="1"/>
    <col min="24" max="24" width="6.5703125" style="18" bestFit="1" customWidth="1"/>
    <col min="25" max="25" width="6.5703125" style="18" customWidth="1"/>
    <col min="26" max="27" width="5.7109375" style="18" bestFit="1" customWidth="1"/>
    <col min="28" max="28" width="4.5703125" style="18" bestFit="1" customWidth="1"/>
    <col min="29" max="29" width="5.28515625" style="18" hidden="1" customWidth="1"/>
    <col min="30" max="30" width="9.28515625" style="18" hidden="1" customWidth="1"/>
    <col min="31" max="31" width="8.85546875" style="18" bestFit="1" customWidth="1"/>
    <col min="32" max="32" width="8" style="18" bestFit="1" customWidth="1"/>
    <col min="33" max="33" width="6.5703125" style="18" hidden="1" customWidth="1"/>
    <col min="34" max="36" width="0" style="18" hidden="1" customWidth="1"/>
    <col min="37" max="37" width="12" style="23" bestFit="1" customWidth="1"/>
    <col min="38" max="38" width="14.28515625" bestFit="1" customWidth="1"/>
    <col min="39" max="39" width="5.28515625" bestFit="1" customWidth="1"/>
    <col min="40" max="40" width="4.5703125" bestFit="1" customWidth="1"/>
    <col min="41" max="41" width="5" bestFit="1" customWidth="1"/>
    <col min="42" max="42" width="4.42578125" bestFit="1" customWidth="1"/>
    <col min="43" max="43" width="4.5703125" bestFit="1" customWidth="1"/>
    <col min="44" max="44" width="5.42578125" bestFit="1" customWidth="1"/>
    <col min="45" max="45" width="6.42578125" bestFit="1" customWidth="1"/>
    <col min="46" max="46" width="3.7109375" bestFit="1" customWidth="1"/>
    <col min="47" max="48" width="6.42578125" customWidth="1"/>
    <col min="49" max="49" width="6.85546875" bestFit="1" customWidth="1"/>
    <col min="50" max="50" width="8" bestFit="1" customWidth="1"/>
    <col min="51" max="51" width="8" hidden="1" customWidth="1"/>
    <col min="52" max="53" width="6.5703125" bestFit="1" customWidth="1"/>
    <col min="54" max="54" width="6.5703125" hidden="1" customWidth="1"/>
    <col min="55" max="55" width="6.5703125" bestFit="1" customWidth="1"/>
    <col min="56" max="56" width="7.85546875" bestFit="1" customWidth="1"/>
    <col min="57" max="57" width="7.85546875" customWidth="1"/>
    <col min="58" max="58" width="0" hidden="1" customWidth="1"/>
    <col min="59" max="59" width="7.85546875" customWidth="1"/>
    <col min="60" max="60" width="8.140625" bestFit="1" customWidth="1"/>
    <col min="61" max="61" width="8.42578125" customWidth="1"/>
    <col min="62" max="62" width="5.5703125" bestFit="1" customWidth="1"/>
    <col min="64" max="64" width="6.85546875" customWidth="1"/>
  </cols>
  <sheetData>
    <row r="1" spans="1:69" x14ac:dyDescent="0.25">
      <c r="F1" t="s">
        <v>4</v>
      </c>
      <c r="N1" t="s">
        <v>27</v>
      </c>
      <c r="O1" t="s">
        <v>26</v>
      </c>
      <c r="P1" t="s">
        <v>30</v>
      </c>
      <c r="Q1" t="s">
        <v>31</v>
      </c>
      <c r="R1" s="17" t="s">
        <v>41</v>
      </c>
      <c r="S1" s="39">
        <v>46143</v>
      </c>
      <c r="T1" s="173" t="s">
        <v>84</v>
      </c>
      <c r="U1" s="173" t="s">
        <v>86</v>
      </c>
      <c r="V1" s="18" t="s">
        <v>0</v>
      </c>
      <c r="W1" s="19" t="s">
        <v>1</v>
      </c>
      <c r="X1" s="19" t="s">
        <v>87</v>
      </c>
      <c r="Y1" s="29" t="s">
        <v>88</v>
      </c>
      <c r="Z1" s="19" t="s">
        <v>2</v>
      </c>
      <c r="AA1" s="19" t="s">
        <v>3</v>
      </c>
      <c r="AB1" s="19" t="s">
        <v>43</v>
      </c>
      <c r="AC1" s="29" t="s">
        <v>66</v>
      </c>
      <c r="AD1" s="19" t="s">
        <v>44</v>
      </c>
      <c r="AE1" s="19" t="s">
        <v>45</v>
      </c>
      <c r="AF1" s="19" t="s">
        <v>46</v>
      </c>
      <c r="AG1" s="29" t="s">
        <v>67</v>
      </c>
      <c r="AH1" s="29" t="s">
        <v>68</v>
      </c>
      <c r="AI1" s="29" t="s">
        <v>3</v>
      </c>
      <c r="AJ1" s="29" t="s">
        <v>69</v>
      </c>
      <c r="AK1" s="20" t="s">
        <v>47</v>
      </c>
      <c r="AL1" s="29" t="s">
        <v>50</v>
      </c>
      <c r="AM1" s="29" t="s">
        <v>51</v>
      </c>
      <c r="AN1" s="29" t="s">
        <v>52</v>
      </c>
      <c r="AO1" s="29" t="s">
        <v>53</v>
      </c>
      <c r="AP1" s="29" t="s">
        <v>54</v>
      </c>
      <c r="AQ1" s="174" t="s">
        <v>114</v>
      </c>
      <c r="AR1" s="174"/>
      <c r="AS1" s="29" t="s">
        <v>55</v>
      </c>
      <c r="AT1" s="29" t="s">
        <v>106</v>
      </c>
      <c r="AU1" s="29" t="s">
        <v>92</v>
      </c>
      <c r="AV1" s="29" t="s">
        <v>93</v>
      </c>
      <c r="AW1" s="29" t="s">
        <v>56</v>
      </c>
      <c r="AX1" s="29" t="s">
        <v>57</v>
      </c>
      <c r="AY1" s="29" t="s">
        <v>58</v>
      </c>
      <c r="AZ1" s="29" t="s">
        <v>72</v>
      </c>
      <c r="BA1" s="29" t="s">
        <v>73</v>
      </c>
      <c r="BB1" s="29" t="s">
        <v>74</v>
      </c>
      <c r="BC1" s="29" t="s">
        <v>115</v>
      </c>
      <c r="BD1" s="29" t="s">
        <v>59</v>
      </c>
      <c r="BE1" s="29" t="s">
        <v>59</v>
      </c>
      <c r="BF1" s="29" t="s">
        <v>78</v>
      </c>
      <c r="BG1" t="s">
        <v>77</v>
      </c>
      <c r="BH1" t="s">
        <v>60</v>
      </c>
      <c r="BI1" t="s">
        <v>75</v>
      </c>
      <c r="BK1" t="s">
        <v>61</v>
      </c>
      <c r="BL1" s="175" t="s">
        <v>185</v>
      </c>
      <c r="BM1" s="176" t="s">
        <v>63</v>
      </c>
      <c r="BN1" s="68" t="s">
        <v>158</v>
      </c>
      <c r="BO1" s="172" t="s">
        <v>155</v>
      </c>
      <c r="BP1" s="172" t="s">
        <v>160</v>
      </c>
      <c r="BQ1" s="172" t="s">
        <v>156</v>
      </c>
    </row>
    <row r="2" spans="1:69" x14ac:dyDescent="0.25">
      <c r="A2" s="43" t="s">
        <v>20</v>
      </c>
      <c r="B2" s="43" t="s">
        <v>11</v>
      </c>
      <c r="C2" s="43" t="s">
        <v>19</v>
      </c>
      <c r="D2" t="s">
        <v>10</v>
      </c>
      <c r="E2" t="s">
        <v>12</v>
      </c>
      <c r="F2" t="s">
        <v>5</v>
      </c>
      <c r="G2" t="s">
        <v>13</v>
      </c>
      <c r="H2" t="s">
        <v>6</v>
      </c>
      <c r="I2" t="s">
        <v>14</v>
      </c>
      <c r="J2" t="s">
        <v>7</v>
      </c>
      <c r="K2" t="s">
        <v>9</v>
      </c>
      <c r="L2" t="s">
        <v>8</v>
      </c>
      <c r="M2" t="s">
        <v>28</v>
      </c>
      <c r="N2" t="s">
        <v>29</v>
      </c>
      <c r="O2" t="s">
        <v>15</v>
      </c>
      <c r="P2" t="s">
        <v>16</v>
      </c>
      <c r="Q2" t="s">
        <v>32</v>
      </c>
      <c r="R2" s="21" t="s">
        <v>42</v>
      </c>
      <c r="S2" s="18" t="s">
        <v>85</v>
      </c>
      <c r="T2" s="173"/>
      <c r="U2" s="173"/>
      <c r="W2" s="44"/>
      <c r="X2" s="44" t="s">
        <v>111</v>
      </c>
      <c r="Y2" s="44"/>
      <c r="AJ2" s="18" t="s">
        <v>70</v>
      </c>
      <c r="AK2" s="23" t="s">
        <v>48</v>
      </c>
      <c r="AL2" s="29" t="s">
        <v>49</v>
      </c>
      <c r="AS2" t="s">
        <v>71</v>
      </c>
      <c r="BD2" t="s">
        <v>90</v>
      </c>
      <c r="BE2" t="s">
        <v>91</v>
      </c>
      <c r="BF2" t="s">
        <v>79</v>
      </c>
      <c r="BG2" t="s">
        <v>76</v>
      </c>
      <c r="BH2" s="30">
        <v>0.03</v>
      </c>
      <c r="BI2" t="s">
        <v>76</v>
      </c>
      <c r="BJ2" s="30" t="s">
        <v>161</v>
      </c>
      <c r="BK2" t="s">
        <v>62</v>
      </c>
      <c r="BL2" s="175"/>
      <c r="BM2" s="176"/>
      <c r="BN2" s="68" t="s">
        <v>159</v>
      </c>
      <c r="BO2" s="172"/>
      <c r="BP2" s="172"/>
      <c r="BQ2" s="172"/>
    </row>
    <row r="3" spans="1:69" x14ac:dyDescent="0.25">
      <c r="T3" s="70"/>
      <c r="U3" s="70"/>
      <c r="W3" s="44"/>
      <c r="X3" s="44"/>
      <c r="Y3" s="44"/>
      <c r="AL3" s="29"/>
      <c r="BH3" s="30"/>
      <c r="BJ3" s="30"/>
      <c r="BM3" s="68"/>
      <c r="BN3" s="68"/>
    </row>
    <row r="4" spans="1:69" x14ac:dyDescent="0.25">
      <c r="A4" s="68">
        <v>1</v>
      </c>
      <c r="B4" s="43" t="s">
        <v>38</v>
      </c>
      <c r="C4" s="43">
        <v>9414</v>
      </c>
      <c r="D4" t="s">
        <v>107</v>
      </c>
      <c r="E4" t="s">
        <v>108</v>
      </c>
      <c r="F4" t="s">
        <v>80</v>
      </c>
      <c r="G4" t="s">
        <v>40</v>
      </c>
      <c r="H4" t="s">
        <v>81</v>
      </c>
      <c r="I4" t="s">
        <v>110</v>
      </c>
      <c r="J4" t="s">
        <v>82</v>
      </c>
      <c r="K4" t="s">
        <v>109</v>
      </c>
      <c r="L4">
        <v>280</v>
      </c>
      <c r="M4" s="2">
        <v>0.27</v>
      </c>
      <c r="O4">
        <v>500</v>
      </c>
      <c r="P4" s="15">
        <f>O4*M4</f>
        <v>135</v>
      </c>
      <c r="R4" s="21" t="s">
        <v>64</v>
      </c>
      <c r="S4" s="18">
        <v>333</v>
      </c>
      <c r="T4" s="40">
        <v>0.7</v>
      </c>
      <c r="U4" s="25">
        <f>S4*T4</f>
        <v>233.1</v>
      </c>
      <c r="V4" s="18">
        <v>25</v>
      </c>
      <c r="W4" s="44"/>
      <c r="X4" s="44">
        <v>55</v>
      </c>
      <c r="Y4" s="44"/>
      <c r="Z4" s="18">
        <v>12</v>
      </c>
      <c r="AA4" s="69">
        <v>13</v>
      </c>
      <c r="AB4" s="69">
        <v>13</v>
      </c>
      <c r="AE4" s="25">
        <f>SUM(U4:AD5)</f>
        <v>442.6</v>
      </c>
      <c r="AF4" s="25">
        <f>ROUND(AE4*10%,0)</f>
        <v>44</v>
      </c>
      <c r="AG4" s="25">
        <v>0</v>
      </c>
      <c r="AH4" s="25">
        <v>0</v>
      </c>
      <c r="AI4" s="25">
        <v>0</v>
      </c>
      <c r="AJ4" s="25"/>
      <c r="AK4" s="26">
        <f>SUM(AE4:AI4)</f>
        <v>486.6</v>
      </c>
      <c r="AL4" s="32">
        <f>ROUND(M4*AK4,0)</f>
        <v>131</v>
      </c>
      <c r="AM4">
        <v>76</v>
      </c>
      <c r="AN4">
        <v>18</v>
      </c>
      <c r="AO4">
        <v>3</v>
      </c>
      <c r="AP4">
        <v>3</v>
      </c>
      <c r="AQ4">
        <v>1</v>
      </c>
      <c r="AS4">
        <v>3</v>
      </c>
      <c r="AU4">
        <v>6</v>
      </c>
      <c r="AV4">
        <v>4</v>
      </c>
      <c r="AX4">
        <v>0</v>
      </c>
      <c r="AY4">
        <v>0</v>
      </c>
      <c r="AZ4">
        <v>0</v>
      </c>
      <c r="BA4">
        <v>0</v>
      </c>
      <c r="BB4">
        <v>0</v>
      </c>
      <c r="BC4">
        <v>102</v>
      </c>
      <c r="BD4">
        <v>4</v>
      </c>
      <c r="BE4">
        <v>8</v>
      </c>
      <c r="BG4" s="53">
        <f>SUM(AL4:BF6)</f>
        <v>398</v>
      </c>
      <c r="BH4" s="41">
        <f>ROUND(BG4*3%,0)</f>
        <v>12</v>
      </c>
      <c r="BI4" s="53">
        <f>BG4+BH4</f>
        <v>410</v>
      </c>
      <c r="BJ4" s="64">
        <v>0.05</v>
      </c>
      <c r="BK4" s="53">
        <f>BI4*BJ4+BI4</f>
        <v>430.5</v>
      </c>
      <c r="BL4" s="53">
        <v>92</v>
      </c>
      <c r="BM4" s="42">
        <f>BK4/BL4</f>
        <v>4.6793478260869561</v>
      </c>
      <c r="BN4" s="42">
        <f>AVERAGE(BM4:BM53)</f>
        <v>4.6779933110367882</v>
      </c>
      <c r="BO4" s="73">
        <v>4.6500000000000004</v>
      </c>
      <c r="BP4" s="42">
        <f>AVERAGE(BO4:BO53)</f>
        <v>4.6538461538461542</v>
      </c>
    </row>
    <row r="5" spans="1:69" x14ac:dyDescent="0.25">
      <c r="A5" s="41"/>
      <c r="Q5" s="15"/>
      <c r="R5" s="21" t="s">
        <v>65</v>
      </c>
      <c r="S5" s="18">
        <v>305</v>
      </c>
      <c r="T5" s="40">
        <v>0.3</v>
      </c>
      <c r="U5" s="25">
        <f>S5*T5</f>
        <v>91.5</v>
      </c>
      <c r="W5" s="44"/>
      <c r="X5" s="44"/>
      <c r="Y5" s="44"/>
      <c r="AA5" s="69"/>
      <c r="AB5" s="69"/>
      <c r="AE5" s="25"/>
      <c r="AF5" s="25"/>
      <c r="AG5" s="25"/>
      <c r="AH5" s="25"/>
      <c r="AI5" s="25"/>
      <c r="AJ5" s="25"/>
      <c r="AK5" s="26"/>
      <c r="AL5" s="32"/>
      <c r="BG5" s="53"/>
      <c r="BH5" s="41"/>
      <c r="BI5" s="53"/>
      <c r="BJ5" s="41"/>
      <c r="BK5" s="41"/>
      <c r="BL5" s="41"/>
      <c r="BM5" s="42"/>
      <c r="BN5" s="42"/>
    </row>
    <row r="6" spans="1:69" ht="15" customHeight="1" x14ac:dyDescent="0.25">
      <c r="A6" s="41"/>
      <c r="B6" s="43" t="s">
        <v>38</v>
      </c>
      <c r="C6" s="43">
        <v>9414</v>
      </c>
      <c r="D6" t="s">
        <v>107</v>
      </c>
      <c r="E6" t="s">
        <v>108</v>
      </c>
      <c r="F6" t="s">
        <v>112</v>
      </c>
      <c r="G6" t="s">
        <v>17</v>
      </c>
      <c r="H6" t="s">
        <v>81</v>
      </c>
      <c r="I6" t="s">
        <v>110</v>
      </c>
      <c r="J6" t="s">
        <v>82</v>
      </c>
      <c r="K6" t="s">
        <v>113</v>
      </c>
      <c r="L6">
        <v>370</v>
      </c>
      <c r="M6" s="2">
        <v>0.08</v>
      </c>
      <c r="O6">
        <v>500</v>
      </c>
      <c r="P6" s="15">
        <f>O6*M6</f>
        <v>40</v>
      </c>
      <c r="R6" s="21" t="s">
        <v>65</v>
      </c>
      <c r="S6" s="18">
        <v>305</v>
      </c>
      <c r="T6" s="40">
        <v>1</v>
      </c>
      <c r="U6" s="25">
        <f>S6*T6</f>
        <v>305</v>
      </c>
      <c r="V6" s="18">
        <v>70</v>
      </c>
      <c r="W6" s="44"/>
      <c r="X6" s="44">
        <v>55</v>
      </c>
      <c r="Y6" s="44"/>
      <c r="Z6" s="18">
        <v>10</v>
      </c>
      <c r="AE6" s="25">
        <f>SUM(U6:AD6)</f>
        <v>440</v>
      </c>
      <c r="AF6" s="25">
        <f>ROUND(AE6*10%,0)</f>
        <v>44</v>
      </c>
      <c r="AG6" s="25">
        <v>0</v>
      </c>
      <c r="AH6" s="25">
        <v>0</v>
      </c>
      <c r="AI6" s="25">
        <v>0</v>
      </c>
      <c r="AK6" s="26">
        <f>SUM(AE6:AI6)</f>
        <v>484</v>
      </c>
      <c r="AL6" s="32">
        <f>ROUND(M6*AK6,0)</f>
        <v>39</v>
      </c>
      <c r="BG6" s="68"/>
      <c r="BH6" s="68"/>
      <c r="BI6" s="47"/>
      <c r="BJ6" s="68"/>
      <c r="BK6" s="68"/>
      <c r="BL6" s="68"/>
      <c r="BM6" s="45"/>
      <c r="BN6" s="45"/>
    </row>
    <row r="7" spans="1:69" ht="15" customHeight="1" x14ac:dyDescent="0.25">
      <c r="A7" s="68"/>
      <c r="M7" s="2"/>
      <c r="P7" s="15"/>
      <c r="T7" s="40"/>
      <c r="U7" s="25"/>
      <c r="W7" s="44"/>
      <c r="X7" s="44"/>
      <c r="Y7" s="44"/>
      <c r="AE7" s="25"/>
      <c r="AF7" s="25"/>
      <c r="AG7" s="25"/>
      <c r="AH7" s="25"/>
      <c r="AI7" s="25"/>
      <c r="AK7" s="26"/>
      <c r="AL7" s="32"/>
      <c r="BG7" s="68"/>
      <c r="BH7" s="68"/>
      <c r="BI7" s="47"/>
      <c r="BJ7" s="68"/>
      <c r="BK7" s="68"/>
      <c r="BL7" s="68"/>
      <c r="BM7" s="45"/>
      <c r="BN7" s="45"/>
    </row>
    <row r="8" spans="1:69" ht="15" customHeight="1" x14ac:dyDescent="0.25">
      <c r="A8" s="68">
        <v>2</v>
      </c>
      <c r="B8" s="43" t="s">
        <v>38</v>
      </c>
      <c r="C8" s="43">
        <v>9414</v>
      </c>
      <c r="D8" t="s">
        <v>116</v>
      </c>
      <c r="E8" t="s">
        <v>117</v>
      </c>
      <c r="F8" t="s">
        <v>80</v>
      </c>
      <c r="G8" t="s">
        <v>40</v>
      </c>
      <c r="H8" t="s">
        <v>81</v>
      </c>
      <c r="I8" t="s">
        <v>110</v>
      </c>
      <c r="J8" t="s">
        <v>82</v>
      </c>
      <c r="K8" t="s">
        <v>109</v>
      </c>
      <c r="L8">
        <v>280</v>
      </c>
      <c r="M8" s="2">
        <v>0.27</v>
      </c>
      <c r="O8">
        <v>500</v>
      </c>
      <c r="P8" s="15">
        <f>O8*M8</f>
        <v>135</v>
      </c>
      <c r="R8" s="21" t="s">
        <v>64</v>
      </c>
      <c r="S8" s="18">
        <v>333</v>
      </c>
      <c r="T8" s="40">
        <v>0.7</v>
      </c>
      <c r="U8" s="25">
        <f>S8*T8</f>
        <v>233.1</v>
      </c>
      <c r="V8" s="18">
        <v>25</v>
      </c>
      <c r="W8" s="44"/>
      <c r="X8" s="44">
        <v>55</v>
      </c>
      <c r="Y8" s="44"/>
      <c r="Z8" s="18">
        <v>12</v>
      </c>
      <c r="AA8" s="69">
        <v>13</v>
      </c>
      <c r="AB8" s="69">
        <v>13</v>
      </c>
      <c r="AE8" s="25">
        <f>SUM(U8:AD9)</f>
        <v>442.6</v>
      </c>
      <c r="AF8" s="25">
        <f>ROUND(AE8*10%,0)</f>
        <v>44</v>
      </c>
      <c r="AG8" s="25">
        <v>0</v>
      </c>
      <c r="AH8" s="25">
        <v>0</v>
      </c>
      <c r="AI8" s="25">
        <v>0</v>
      </c>
      <c r="AJ8" s="25"/>
      <c r="AK8" s="26">
        <f>SUM(AE8:AI8)</f>
        <v>486.6</v>
      </c>
      <c r="AL8" s="32">
        <f>ROUND(M8*AK8,0)</f>
        <v>131</v>
      </c>
      <c r="AM8">
        <v>62</v>
      </c>
      <c r="AN8">
        <v>18</v>
      </c>
      <c r="AO8">
        <v>3</v>
      </c>
      <c r="AP8">
        <v>3</v>
      </c>
      <c r="AQ8">
        <v>1</v>
      </c>
      <c r="AS8">
        <v>3</v>
      </c>
      <c r="AU8">
        <v>0</v>
      </c>
      <c r="AV8">
        <v>0</v>
      </c>
      <c r="AX8">
        <v>30</v>
      </c>
      <c r="AY8">
        <v>0</v>
      </c>
      <c r="AZ8">
        <v>0</v>
      </c>
      <c r="BA8">
        <v>0</v>
      </c>
      <c r="BB8">
        <v>0</v>
      </c>
      <c r="BC8">
        <v>104</v>
      </c>
      <c r="BD8">
        <v>0</v>
      </c>
      <c r="BE8">
        <v>0</v>
      </c>
      <c r="BG8" s="53">
        <f>SUM(AL8:BF10)</f>
        <v>399</v>
      </c>
      <c r="BH8" s="41">
        <f>ROUND(BG8*5%,0)</f>
        <v>20</v>
      </c>
      <c r="BI8" s="53">
        <f>BG8+BH8</f>
        <v>419</v>
      </c>
      <c r="BJ8" s="72">
        <v>7.0000000000000007E-2</v>
      </c>
      <c r="BK8" s="53">
        <f>BI8*BJ8+BI8</f>
        <v>448.33</v>
      </c>
      <c r="BL8" s="53">
        <v>92</v>
      </c>
      <c r="BM8" s="42">
        <f>BK8/BL8</f>
        <v>4.8731521739130432</v>
      </c>
      <c r="BN8" s="42"/>
      <c r="BO8" s="73">
        <v>4.8499999999999996</v>
      </c>
    </row>
    <row r="9" spans="1:69" x14ac:dyDescent="0.25">
      <c r="A9" s="41"/>
      <c r="R9" s="21" t="s">
        <v>65</v>
      </c>
      <c r="S9" s="18">
        <v>305</v>
      </c>
      <c r="T9" s="40">
        <v>0.3</v>
      </c>
      <c r="U9" s="25">
        <f>S9*T9</f>
        <v>91.5</v>
      </c>
      <c r="W9" s="44"/>
      <c r="X9" s="44"/>
      <c r="Y9" s="44"/>
      <c r="AA9" s="69"/>
      <c r="AB9" s="69"/>
      <c r="AE9" s="25"/>
      <c r="AF9" s="25"/>
      <c r="AG9" s="25"/>
      <c r="AH9" s="25"/>
      <c r="AI9" s="25"/>
      <c r="AJ9" s="25"/>
      <c r="AK9" s="26"/>
      <c r="AL9" s="32"/>
      <c r="BG9" s="53"/>
      <c r="BH9" s="41"/>
      <c r="BI9" s="53"/>
      <c r="BJ9" s="41"/>
      <c r="BK9" s="41"/>
      <c r="BL9" s="41"/>
      <c r="BM9" s="42"/>
      <c r="BN9" s="42"/>
    </row>
    <row r="10" spans="1:69" ht="15" customHeight="1" x14ac:dyDescent="0.25">
      <c r="B10" s="43" t="s">
        <v>38</v>
      </c>
      <c r="C10" s="43">
        <v>9414</v>
      </c>
      <c r="D10" t="s">
        <v>116</v>
      </c>
      <c r="E10" t="s">
        <v>117</v>
      </c>
      <c r="F10" t="s">
        <v>112</v>
      </c>
      <c r="G10" t="s">
        <v>17</v>
      </c>
      <c r="H10" t="s">
        <v>81</v>
      </c>
      <c r="I10" t="s">
        <v>110</v>
      </c>
      <c r="J10" t="s">
        <v>82</v>
      </c>
      <c r="K10" t="s">
        <v>113</v>
      </c>
      <c r="L10">
        <v>370</v>
      </c>
      <c r="M10" s="2">
        <v>0.09</v>
      </c>
      <c r="O10">
        <v>500</v>
      </c>
      <c r="P10" s="15">
        <f>O10*M10</f>
        <v>45</v>
      </c>
      <c r="R10" s="21" t="s">
        <v>65</v>
      </c>
      <c r="S10" s="18">
        <v>305</v>
      </c>
      <c r="T10" s="40">
        <v>1</v>
      </c>
      <c r="U10" s="25">
        <f>S10*T10</f>
        <v>305</v>
      </c>
      <c r="V10" s="18">
        <v>70</v>
      </c>
      <c r="W10" s="44"/>
      <c r="X10" s="44">
        <v>55</v>
      </c>
      <c r="Y10" s="44"/>
      <c r="Z10" s="18">
        <v>13</v>
      </c>
      <c r="AE10" s="25">
        <f>SUM(U10:AD10)</f>
        <v>443</v>
      </c>
      <c r="AF10" s="25">
        <f>ROUND(AE10*10%,0)</f>
        <v>44</v>
      </c>
      <c r="AG10" s="25">
        <v>0</v>
      </c>
      <c r="AH10" s="25">
        <v>0</v>
      </c>
      <c r="AI10" s="25">
        <v>0</v>
      </c>
      <c r="AK10" s="26">
        <f>SUM(AE10:AI10)</f>
        <v>487</v>
      </c>
      <c r="AL10" s="32">
        <f>ROUND(M10*AK10,0)</f>
        <v>44</v>
      </c>
      <c r="BG10" s="68"/>
      <c r="BH10" s="68"/>
      <c r="BI10" s="47"/>
      <c r="BJ10" s="68"/>
      <c r="BK10" s="68"/>
      <c r="BL10" s="68"/>
      <c r="BM10" s="45"/>
      <c r="BN10" s="45"/>
    </row>
    <row r="11" spans="1:69" ht="15" customHeight="1" x14ac:dyDescent="0.25">
      <c r="W11" s="44"/>
      <c r="X11" s="44"/>
      <c r="Y11" s="44"/>
      <c r="AL11" s="29"/>
      <c r="BH11" s="41"/>
      <c r="BI11" s="41"/>
      <c r="BJ11" s="41"/>
      <c r="BK11" s="41"/>
      <c r="BL11" s="41"/>
      <c r="BM11" s="42"/>
      <c r="BN11" s="42"/>
    </row>
    <row r="12" spans="1:69" ht="15" customHeight="1" x14ac:dyDescent="0.25">
      <c r="A12" s="43">
        <v>3</v>
      </c>
      <c r="B12" s="43" t="s">
        <v>38</v>
      </c>
      <c r="C12" s="43">
        <v>9414</v>
      </c>
      <c r="D12" t="s">
        <v>146</v>
      </c>
      <c r="E12" t="s">
        <v>147</v>
      </c>
      <c r="F12" t="s">
        <v>148</v>
      </c>
      <c r="G12" t="s">
        <v>149</v>
      </c>
      <c r="H12" t="s">
        <v>81</v>
      </c>
      <c r="I12" t="s">
        <v>150</v>
      </c>
      <c r="J12" s="43" t="s">
        <v>18</v>
      </c>
      <c r="K12" t="s">
        <v>109</v>
      </c>
      <c r="L12">
        <v>140</v>
      </c>
      <c r="M12">
        <v>9.5000000000000001E-2</v>
      </c>
      <c r="O12">
        <v>500</v>
      </c>
      <c r="P12" s="15">
        <f>O12*M12</f>
        <v>47.5</v>
      </c>
      <c r="R12" s="21" t="s">
        <v>151</v>
      </c>
      <c r="S12" s="27">
        <v>333</v>
      </c>
      <c r="T12" s="61">
        <v>1</v>
      </c>
      <c r="U12" s="25">
        <f>S12*T12</f>
        <v>333</v>
      </c>
      <c r="V12" s="18">
        <v>13</v>
      </c>
      <c r="W12" s="44"/>
      <c r="X12" s="44">
        <v>150</v>
      </c>
      <c r="Y12" s="44"/>
      <c r="Z12" s="18">
        <v>13</v>
      </c>
      <c r="AA12" s="69">
        <v>13</v>
      </c>
      <c r="AE12" s="25">
        <f>SUM(U12:AD12)</f>
        <v>522</v>
      </c>
      <c r="AF12" s="25">
        <f>ROUND(AE12*10%,0)</f>
        <v>52</v>
      </c>
      <c r="AG12" s="25">
        <v>0</v>
      </c>
      <c r="AH12" s="25">
        <v>0</v>
      </c>
      <c r="AI12" s="25">
        <v>0</v>
      </c>
      <c r="AK12" s="26">
        <f>SUM(AE12:AI12)</f>
        <v>574</v>
      </c>
      <c r="AL12" s="32">
        <f>ROUND(M12*AK12,0)</f>
        <v>55</v>
      </c>
      <c r="AM12">
        <v>72</v>
      </c>
      <c r="AN12">
        <v>18</v>
      </c>
      <c r="AO12">
        <v>3</v>
      </c>
      <c r="AP12">
        <v>3</v>
      </c>
      <c r="AS12">
        <v>10</v>
      </c>
      <c r="AV12">
        <v>7.5</v>
      </c>
      <c r="BD12">
        <v>30</v>
      </c>
      <c r="BG12" s="53">
        <f>SUM(AL12:BF13)</f>
        <v>303.5</v>
      </c>
      <c r="BH12" s="41">
        <f>ROUND(BG12*5%,0)</f>
        <v>15</v>
      </c>
      <c r="BI12" s="53">
        <f>BG12+BH12</f>
        <v>318.5</v>
      </c>
      <c r="BJ12" s="72">
        <v>0.14000000000000001</v>
      </c>
      <c r="BK12" s="53">
        <f>BI12*BJ12+BI12</f>
        <v>363.09000000000003</v>
      </c>
      <c r="BL12" s="53">
        <v>92</v>
      </c>
      <c r="BM12" s="42">
        <f>BK12/BL12</f>
        <v>3.9466304347826089</v>
      </c>
      <c r="BN12" s="42"/>
      <c r="BO12" s="73">
        <v>3.95</v>
      </c>
    </row>
    <row r="13" spans="1:69" ht="15" customHeight="1" x14ac:dyDescent="0.25">
      <c r="F13" t="s">
        <v>152</v>
      </c>
      <c r="G13" t="s">
        <v>153</v>
      </c>
      <c r="H13" t="s">
        <v>81</v>
      </c>
      <c r="I13" t="s">
        <v>150</v>
      </c>
      <c r="J13" t="s">
        <v>152</v>
      </c>
      <c r="K13" t="s">
        <v>154</v>
      </c>
      <c r="L13">
        <v>40</v>
      </c>
      <c r="N13">
        <v>3</v>
      </c>
      <c r="O13">
        <v>500</v>
      </c>
      <c r="Q13" s="32">
        <f>N13*O13</f>
        <v>1500</v>
      </c>
      <c r="W13" s="44"/>
      <c r="X13" s="44"/>
      <c r="Y13" s="44"/>
      <c r="AK13" s="23">
        <v>35</v>
      </c>
      <c r="AL13" s="32">
        <f>ROUND(N13*AK13,0)</f>
        <v>105</v>
      </c>
      <c r="BH13" s="41"/>
      <c r="BI13" s="41"/>
      <c r="BJ13" s="41"/>
      <c r="BK13" s="41"/>
      <c r="BL13" s="41"/>
      <c r="BM13" s="42"/>
      <c r="BN13" s="42"/>
    </row>
    <row r="14" spans="1:69" ht="15" customHeight="1" x14ac:dyDescent="0.25">
      <c r="W14" s="44"/>
      <c r="X14" s="44"/>
      <c r="Y14" s="44"/>
      <c r="AL14" s="29"/>
      <c r="BH14" s="41"/>
      <c r="BI14" s="41"/>
      <c r="BJ14" s="41"/>
      <c r="BK14" s="41"/>
      <c r="BL14" s="41"/>
      <c r="BM14" s="42"/>
      <c r="BN14" s="42"/>
    </row>
    <row r="15" spans="1:69" ht="15" customHeight="1" x14ac:dyDescent="0.25">
      <c r="W15" s="44"/>
      <c r="X15" s="44"/>
      <c r="Y15" s="44"/>
      <c r="AL15" s="29"/>
      <c r="BH15" s="41"/>
      <c r="BI15" s="41"/>
      <c r="BJ15" s="41"/>
      <c r="BK15" s="41"/>
      <c r="BL15" s="41"/>
      <c r="BM15" s="42"/>
      <c r="BN15" s="42"/>
    </row>
    <row r="16" spans="1:69" ht="15" customHeight="1" x14ac:dyDescent="0.25">
      <c r="A16" s="43">
        <v>4</v>
      </c>
      <c r="B16" s="43" t="s">
        <v>38</v>
      </c>
      <c r="C16" s="43">
        <v>9414</v>
      </c>
      <c r="D16" t="s">
        <v>136</v>
      </c>
      <c r="E16" t="s">
        <v>137</v>
      </c>
      <c r="F16" s="43" t="s">
        <v>138</v>
      </c>
      <c r="G16" t="s">
        <v>40</v>
      </c>
      <c r="H16" t="s">
        <v>157</v>
      </c>
      <c r="I16" t="s">
        <v>39</v>
      </c>
      <c r="J16" t="s">
        <v>139</v>
      </c>
      <c r="K16" t="s">
        <v>184</v>
      </c>
      <c r="L16">
        <v>300</v>
      </c>
      <c r="M16" s="2">
        <v>0.15</v>
      </c>
      <c r="O16">
        <v>500</v>
      </c>
      <c r="P16" s="15">
        <f>O16*M16</f>
        <v>75</v>
      </c>
      <c r="R16" s="21" t="s">
        <v>172</v>
      </c>
      <c r="S16" s="18">
        <v>0</v>
      </c>
      <c r="T16" s="40">
        <v>0</v>
      </c>
      <c r="U16" s="25">
        <v>0</v>
      </c>
      <c r="V16" s="18">
        <v>0</v>
      </c>
      <c r="W16" s="44"/>
      <c r="X16" s="44"/>
      <c r="Y16" s="44">
        <v>0</v>
      </c>
      <c r="Z16" s="18">
        <v>0</v>
      </c>
      <c r="AA16" s="69">
        <v>0</v>
      </c>
      <c r="AB16" s="69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/>
      <c r="AK16" s="26">
        <v>900</v>
      </c>
      <c r="AL16" s="32">
        <f>ROUND(M16*AK16,0)</f>
        <v>135</v>
      </c>
      <c r="AM16">
        <v>135</v>
      </c>
      <c r="AN16">
        <v>18</v>
      </c>
      <c r="AO16">
        <v>3</v>
      </c>
      <c r="AP16">
        <v>3</v>
      </c>
      <c r="AQ16">
        <v>1</v>
      </c>
      <c r="AS16">
        <v>5</v>
      </c>
      <c r="BD16">
        <v>4</v>
      </c>
      <c r="BE16">
        <v>8</v>
      </c>
      <c r="BG16" s="53">
        <f>SUM(AL16:BF18)</f>
        <v>532</v>
      </c>
      <c r="BH16" s="41">
        <f>ROUND(BG16*0%,0)</f>
        <v>0</v>
      </c>
      <c r="BI16" s="53">
        <f>BG16+BH16</f>
        <v>532</v>
      </c>
      <c r="BJ16" s="72">
        <v>-0.1</v>
      </c>
      <c r="BK16" s="53">
        <f>BI16*BJ16+BI16</f>
        <v>478.8</v>
      </c>
      <c r="BL16" s="53">
        <v>92</v>
      </c>
      <c r="BM16" s="42">
        <f>BK16/BL16</f>
        <v>5.2043478260869565</v>
      </c>
      <c r="BN16" s="42"/>
      <c r="BO16" s="73">
        <v>5</v>
      </c>
    </row>
    <row r="17" spans="1:68" ht="15" customHeight="1" x14ac:dyDescent="0.25">
      <c r="F17" s="43"/>
      <c r="G17" s="71"/>
      <c r="R17" s="21" t="s">
        <v>143</v>
      </c>
      <c r="S17" s="18">
        <v>500</v>
      </c>
      <c r="T17" s="40">
        <v>0.3</v>
      </c>
      <c r="U17" s="25">
        <f>S17*T17</f>
        <v>150</v>
      </c>
      <c r="W17" s="44"/>
      <c r="X17" s="44"/>
      <c r="Y17" s="44"/>
      <c r="AA17" s="69"/>
      <c r="AB17" s="69"/>
      <c r="AE17" s="25"/>
      <c r="AF17" s="25"/>
      <c r="AG17" s="25"/>
      <c r="AH17" s="25"/>
      <c r="AI17" s="25"/>
      <c r="AJ17" s="25"/>
      <c r="AK17" s="26"/>
      <c r="AL17" s="32"/>
      <c r="BH17" s="41"/>
      <c r="BI17" s="41"/>
      <c r="BJ17" s="41"/>
      <c r="BK17" s="41"/>
      <c r="BL17" s="41"/>
      <c r="BM17" s="42"/>
      <c r="BN17" s="42"/>
    </row>
    <row r="18" spans="1:68" ht="15" customHeight="1" x14ac:dyDescent="0.25">
      <c r="B18" s="43" t="s">
        <v>38</v>
      </c>
      <c r="C18" s="43">
        <v>9414</v>
      </c>
      <c r="D18" t="s">
        <v>136</v>
      </c>
      <c r="E18" t="s">
        <v>137</v>
      </c>
      <c r="F18" t="s">
        <v>140</v>
      </c>
      <c r="G18" t="s">
        <v>141</v>
      </c>
      <c r="H18" t="s">
        <v>157</v>
      </c>
      <c r="I18" t="s">
        <v>39</v>
      </c>
      <c r="J18" t="s">
        <v>140</v>
      </c>
      <c r="K18" t="s">
        <v>142</v>
      </c>
      <c r="L18">
        <v>40</v>
      </c>
      <c r="N18" s="32">
        <v>2.2000000000000002</v>
      </c>
      <c r="O18">
        <v>500</v>
      </c>
      <c r="Q18" s="32">
        <f>N18*O18</f>
        <v>1100</v>
      </c>
      <c r="W18" s="44"/>
      <c r="X18" s="44"/>
      <c r="Y18" s="44"/>
      <c r="AK18" s="23">
        <v>100</v>
      </c>
      <c r="AL18" s="32">
        <f>ROUND(N18*AK18,0)</f>
        <v>220</v>
      </c>
      <c r="BH18" s="41"/>
      <c r="BI18" s="41"/>
      <c r="BJ18" s="41"/>
      <c r="BK18" s="41"/>
      <c r="BL18" s="41"/>
      <c r="BM18" s="42"/>
      <c r="BN18" s="42"/>
    </row>
    <row r="19" spans="1:68" ht="15" customHeight="1" x14ac:dyDescent="0.25">
      <c r="W19" s="44"/>
      <c r="X19" s="44"/>
      <c r="Y19" s="44"/>
      <c r="AL19" s="29"/>
      <c r="BH19" s="41"/>
      <c r="BI19" s="41"/>
      <c r="BJ19" s="41"/>
      <c r="BK19" s="41"/>
      <c r="BL19" s="41"/>
      <c r="BM19" s="42"/>
      <c r="BN19" s="42"/>
    </row>
    <row r="20" spans="1:68" ht="15" customHeight="1" x14ac:dyDescent="0.25">
      <c r="W20" s="44"/>
      <c r="X20" s="44"/>
      <c r="Y20" s="44"/>
      <c r="AL20" s="29"/>
      <c r="BH20" s="41"/>
      <c r="BI20" s="41"/>
      <c r="BJ20" s="41"/>
      <c r="BK20" s="41"/>
      <c r="BL20" s="41"/>
      <c r="BM20" s="42"/>
      <c r="BN20" s="42"/>
    </row>
    <row r="21" spans="1:68" ht="15" customHeight="1" x14ac:dyDescent="0.25">
      <c r="A21" s="43">
        <v>5</v>
      </c>
      <c r="B21" s="43" t="s">
        <v>38</v>
      </c>
      <c r="C21" s="43">
        <v>9414</v>
      </c>
      <c r="D21" t="s">
        <v>94</v>
      </c>
      <c r="E21" s="43" t="s">
        <v>95</v>
      </c>
      <c r="F21" t="s">
        <v>80</v>
      </c>
      <c r="G21" t="s">
        <v>40</v>
      </c>
      <c r="H21" s="43" t="s">
        <v>96</v>
      </c>
      <c r="I21" t="s">
        <v>39</v>
      </c>
      <c r="J21" t="s">
        <v>82</v>
      </c>
      <c r="K21" t="s">
        <v>83</v>
      </c>
      <c r="L21">
        <v>280</v>
      </c>
      <c r="M21">
        <v>0.48499999999999999</v>
      </c>
      <c r="O21">
        <v>500</v>
      </c>
      <c r="P21" s="15">
        <f>O21*M21</f>
        <v>242.5</v>
      </c>
      <c r="R21" s="21" t="s">
        <v>64</v>
      </c>
      <c r="S21" s="18">
        <v>328</v>
      </c>
      <c r="T21" s="40">
        <v>0.7</v>
      </c>
      <c r="U21" s="25">
        <f>S21*T21</f>
        <v>229.6</v>
      </c>
      <c r="V21" s="18">
        <v>25</v>
      </c>
      <c r="W21" s="44"/>
      <c r="X21" s="44"/>
      <c r="Y21" s="44">
        <v>190</v>
      </c>
      <c r="Z21" s="18">
        <v>12</v>
      </c>
      <c r="AA21" s="69">
        <v>13</v>
      </c>
      <c r="AB21" s="69">
        <v>13</v>
      </c>
      <c r="AE21" s="25">
        <f>SUM(U21:AD22)</f>
        <v>571.1</v>
      </c>
      <c r="AF21" s="25">
        <f>ROUND(AE21*10%,0)</f>
        <v>57</v>
      </c>
      <c r="AG21" s="25">
        <v>0</v>
      </c>
      <c r="AH21" s="25">
        <v>0</v>
      </c>
      <c r="AI21" s="25">
        <v>0</v>
      </c>
      <c r="AJ21" s="25"/>
      <c r="AK21" s="26">
        <f>SUM(AE21:AI21)</f>
        <v>628.1</v>
      </c>
      <c r="AL21" s="32">
        <f>ROUND(M21*AK21,0)</f>
        <v>305</v>
      </c>
      <c r="AM21">
        <v>55</v>
      </c>
      <c r="AN21">
        <v>18</v>
      </c>
      <c r="AO21">
        <v>3</v>
      </c>
      <c r="AP21">
        <v>3</v>
      </c>
      <c r="AQ21">
        <v>0</v>
      </c>
      <c r="AR21">
        <v>0</v>
      </c>
      <c r="AS21">
        <v>0</v>
      </c>
      <c r="AW21">
        <v>2</v>
      </c>
      <c r="AX21">
        <v>0</v>
      </c>
      <c r="AY21">
        <v>0</v>
      </c>
      <c r="AZ21">
        <v>20</v>
      </c>
      <c r="BA21">
        <v>30</v>
      </c>
      <c r="BB21">
        <v>0</v>
      </c>
      <c r="BC21">
        <v>0</v>
      </c>
      <c r="BD21">
        <v>0</v>
      </c>
      <c r="BF21">
        <v>0</v>
      </c>
      <c r="BG21" s="54">
        <f>SUM(AL21:BF23)</f>
        <v>460</v>
      </c>
      <c r="BH21" s="41">
        <f>ROUND(BG21*3%,0)</f>
        <v>14</v>
      </c>
      <c r="BI21" s="53">
        <f>BG21+BH21</f>
        <v>474</v>
      </c>
      <c r="BJ21" s="72">
        <v>0.08</v>
      </c>
      <c r="BK21" s="53">
        <f>BI21*BJ21+BI21</f>
        <v>511.92</v>
      </c>
      <c r="BL21" s="53">
        <v>92</v>
      </c>
      <c r="BM21" s="42">
        <f>BK21/BL21</f>
        <v>5.5643478260869568</v>
      </c>
      <c r="BN21" s="42"/>
      <c r="BO21" s="73">
        <v>5.55</v>
      </c>
    </row>
    <row r="22" spans="1:68" ht="15" customHeight="1" x14ac:dyDescent="0.25">
      <c r="R22" s="21" t="s">
        <v>65</v>
      </c>
      <c r="S22" s="18">
        <v>295</v>
      </c>
      <c r="T22" s="40">
        <v>0.3</v>
      </c>
      <c r="U22" s="25">
        <f>S22*T22</f>
        <v>88.5</v>
      </c>
      <c r="W22" s="44"/>
      <c r="X22" s="44"/>
      <c r="Y22" s="44"/>
      <c r="AA22" s="69"/>
      <c r="AB22" s="69"/>
      <c r="AE22" s="25"/>
      <c r="AF22" s="25"/>
      <c r="AG22" s="25"/>
      <c r="AH22" s="25"/>
      <c r="AI22" s="25"/>
      <c r="AJ22" s="25"/>
      <c r="AK22" s="26"/>
      <c r="AL22" s="32"/>
      <c r="BG22" s="54"/>
      <c r="BH22" s="41"/>
      <c r="BI22" s="53"/>
      <c r="BJ22" s="41"/>
      <c r="BK22" s="53"/>
      <c r="BL22" s="53"/>
      <c r="BM22" s="42"/>
      <c r="BN22" s="42"/>
    </row>
    <row r="23" spans="1:68" ht="15" customHeight="1" x14ac:dyDescent="0.25">
      <c r="B23" s="43" t="s">
        <v>38</v>
      </c>
      <c r="C23" s="43">
        <v>9414</v>
      </c>
      <c r="D23" t="s">
        <v>94</v>
      </c>
      <c r="E23" s="43" t="s">
        <v>95</v>
      </c>
      <c r="F23" t="s">
        <v>98</v>
      </c>
      <c r="G23" s="43" t="s">
        <v>97</v>
      </c>
      <c r="H23" s="43" t="s">
        <v>96</v>
      </c>
      <c r="I23" t="s">
        <v>39</v>
      </c>
      <c r="J23" s="43" t="s">
        <v>18</v>
      </c>
      <c r="K23" t="s">
        <v>83</v>
      </c>
      <c r="L23">
        <v>180</v>
      </c>
      <c r="M23">
        <v>0.04</v>
      </c>
      <c r="O23">
        <v>500</v>
      </c>
      <c r="P23" s="15">
        <f>O23*M23</f>
        <v>20</v>
      </c>
      <c r="R23" s="21" t="s">
        <v>118</v>
      </c>
      <c r="S23" s="27">
        <v>311</v>
      </c>
      <c r="T23" s="40">
        <v>1</v>
      </c>
      <c r="U23" s="25">
        <f>S23*T23</f>
        <v>311</v>
      </c>
      <c r="V23" s="18">
        <v>13</v>
      </c>
      <c r="W23" s="44"/>
      <c r="X23" s="44"/>
      <c r="Y23" s="44">
        <v>190</v>
      </c>
      <c r="Z23" s="18">
        <v>12</v>
      </c>
      <c r="AA23" s="69">
        <v>13</v>
      </c>
      <c r="AB23" s="69"/>
      <c r="AE23" s="25">
        <f>SUM(U23:AD24)</f>
        <v>539</v>
      </c>
      <c r="AF23" s="25">
        <f>ROUND(AE23*10%,0)</f>
        <v>54</v>
      </c>
      <c r="AG23" s="25">
        <v>0</v>
      </c>
      <c r="AH23" s="25">
        <v>0</v>
      </c>
      <c r="AI23" s="25">
        <v>0</v>
      </c>
      <c r="AJ23" s="25"/>
      <c r="AK23" s="26">
        <f>SUM(AE23:AI23)</f>
        <v>593</v>
      </c>
      <c r="AL23" s="32">
        <f>ROUND(M23*AK23,0)</f>
        <v>24</v>
      </c>
      <c r="BG23" s="54"/>
      <c r="BH23" s="41"/>
      <c r="BI23" s="53"/>
      <c r="BJ23" s="41"/>
      <c r="BK23" s="53"/>
      <c r="BL23" s="53"/>
      <c r="BM23" s="42"/>
      <c r="BN23" s="42"/>
    </row>
    <row r="24" spans="1:68" ht="15" customHeight="1" x14ac:dyDescent="0.25">
      <c r="E24" s="43"/>
      <c r="H24" s="43"/>
      <c r="P24" s="15"/>
      <c r="T24" s="40"/>
      <c r="U24" s="25"/>
      <c r="W24" s="44"/>
      <c r="X24" s="44"/>
      <c r="Y24" s="44"/>
      <c r="AA24" s="69"/>
      <c r="AB24" s="69"/>
      <c r="AE24" s="25"/>
      <c r="AF24" s="25"/>
      <c r="AG24" s="25"/>
      <c r="AH24" s="25"/>
      <c r="AI24" s="25"/>
      <c r="AJ24" s="25"/>
      <c r="AK24" s="26"/>
      <c r="AL24" s="32"/>
      <c r="BG24" s="53"/>
      <c r="BH24" s="41"/>
      <c r="BI24" s="53"/>
      <c r="BJ24" s="41"/>
      <c r="BK24" s="53"/>
      <c r="BL24" s="53"/>
      <c r="BM24" s="42"/>
      <c r="BN24" s="42"/>
    </row>
    <row r="25" spans="1:68" ht="15" customHeight="1" x14ac:dyDescent="0.25">
      <c r="A25" s="49">
        <v>6</v>
      </c>
      <c r="B25" s="43" t="s">
        <v>38</v>
      </c>
      <c r="C25" s="43">
        <v>9414</v>
      </c>
      <c r="D25" s="14" t="s">
        <v>101</v>
      </c>
      <c r="E25" s="14" t="s">
        <v>102</v>
      </c>
      <c r="F25" s="14" t="s">
        <v>80</v>
      </c>
      <c r="G25" t="s">
        <v>40</v>
      </c>
      <c r="H25" s="13" t="s">
        <v>96</v>
      </c>
      <c r="I25" t="s">
        <v>39</v>
      </c>
      <c r="J25" t="s">
        <v>99</v>
      </c>
      <c r="K25" t="s">
        <v>83</v>
      </c>
      <c r="L25">
        <v>280</v>
      </c>
      <c r="M25" s="2">
        <v>0.26500000000000001</v>
      </c>
      <c r="N25" s="14"/>
      <c r="O25">
        <v>500</v>
      </c>
      <c r="P25" s="15">
        <f>O25*M25</f>
        <v>132.5</v>
      </c>
      <c r="Q25" s="15"/>
      <c r="R25" s="21" t="s">
        <v>64</v>
      </c>
      <c r="S25" s="18">
        <v>328</v>
      </c>
      <c r="T25" s="40">
        <v>0.7</v>
      </c>
      <c r="U25" s="25">
        <f>S25*T25</f>
        <v>229.6</v>
      </c>
      <c r="V25" s="18">
        <v>25</v>
      </c>
      <c r="W25" s="44"/>
      <c r="X25" s="44"/>
      <c r="Y25" s="44">
        <v>190</v>
      </c>
      <c r="Z25" s="18">
        <v>12</v>
      </c>
      <c r="AA25" s="69">
        <v>13</v>
      </c>
      <c r="AB25" s="69">
        <v>13</v>
      </c>
      <c r="AE25" s="25">
        <f>SUM(U25:AD26)</f>
        <v>574.4</v>
      </c>
      <c r="AF25" s="25">
        <f>ROUND(AE25*10%,0)</f>
        <v>57</v>
      </c>
      <c r="AG25" s="25">
        <v>0</v>
      </c>
      <c r="AH25" s="25">
        <v>0</v>
      </c>
      <c r="AI25" s="25">
        <v>0</v>
      </c>
      <c r="AJ25" s="25"/>
      <c r="AK25" s="26">
        <f>SUM(AE25:AI25)</f>
        <v>631.4</v>
      </c>
      <c r="AL25" s="32">
        <f>ROUND(M25*AK25,0)</f>
        <v>167</v>
      </c>
      <c r="AM25">
        <v>62</v>
      </c>
      <c r="AN25">
        <v>18</v>
      </c>
      <c r="AO25">
        <v>3</v>
      </c>
      <c r="AP25">
        <v>3</v>
      </c>
      <c r="AQ25">
        <v>0</v>
      </c>
      <c r="AR25">
        <v>0</v>
      </c>
      <c r="AS25">
        <v>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35</v>
      </c>
      <c r="BA25">
        <v>35</v>
      </c>
      <c r="BB25">
        <v>0</v>
      </c>
      <c r="BC25">
        <v>0</v>
      </c>
      <c r="BD25">
        <v>4</v>
      </c>
      <c r="BE25">
        <v>8</v>
      </c>
      <c r="BF25">
        <v>0</v>
      </c>
      <c r="BG25" s="53">
        <f>SUM(AL25:BF27)</f>
        <v>359</v>
      </c>
      <c r="BH25" s="41">
        <f>ROUND(BG25*3%,0)</f>
        <v>11</v>
      </c>
      <c r="BI25" s="53">
        <f>BG25+BH25</f>
        <v>370</v>
      </c>
      <c r="BJ25" s="72">
        <v>0.11</v>
      </c>
      <c r="BK25" s="53">
        <f>BI25*BJ25+BI25</f>
        <v>410.7</v>
      </c>
      <c r="BL25" s="53">
        <v>92</v>
      </c>
      <c r="BM25" s="42">
        <f>BK25/BL25</f>
        <v>4.464130434782609</v>
      </c>
      <c r="BN25" s="42"/>
      <c r="BO25" s="73">
        <v>4.45</v>
      </c>
    </row>
    <row r="26" spans="1:68" ht="15" customHeight="1" x14ac:dyDescent="0.25">
      <c r="A26" s="55"/>
      <c r="B26" s="13"/>
      <c r="C26" s="13"/>
      <c r="D26" s="14"/>
      <c r="E26" s="14"/>
      <c r="F26" s="14"/>
      <c r="G26" s="13"/>
      <c r="H26" s="13"/>
      <c r="I26" s="13"/>
      <c r="J26" s="13"/>
      <c r="K26" s="13"/>
      <c r="L26" s="14"/>
      <c r="M26" s="15"/>
      <c r="N26" s="14"/>
      <c r="O26" s="14"/>
      <c r="P26" s="15"/>
      <c r="Q26" s="15"/>
      <c r="R26" s="21" t="s">
        <v>65</v>
      </c>
      <c r="S26" s="18">
        <v>306</v>
      </c>
      <c r="T26" s="40">
        <v>0.3</v>
      </c>
      <c r="U26" s="25">
        <f>S26*T26</f>
        <v>91.8</v>
      </c>
      <c r="W26" s="44"/>
      <c r="X26" s="44"/>
      <c r="Y26" s="44"/>
      <c r="AL26" s="32"/>
      <c r="BG26" s="53"/>
      <c r="BH26" s="41"/>
      <c r="BI26" s="53"/>
      <c r="BJ26" s="41"/>
      <c r="BK26" s="53"/>
      <c r="BL26" s="53"/>
      <c r="BM26" s="42"/>
      <c r="BN26" s="42"/>
    </row>
    <row r="27" spans="1:68" ht="15" customHeight="1" x14ac:dyDescent="0.25">
      <c r="A27" s="55"/>
      <c r="B27" s="43" t="s">
        <v>38</v>
      </c>
      <c r="C27" s="43">
        <v>9414</v>
      </c>
      <c r="D27" s="14" t="s">
        <v>101</v>
      </c>
      <c r="E27" s="14" t="s">
        <v>102</v>
      </c>
      <c r="F27" t="s">
        <v>103</v>
      </c>
      <c r="G27" s="13" t="s">
        <v>17</v>
      </c>
      <c r="H27" s="13" t="s">
        <v>96</v>
      </c>
      <c r="I27" t="s">
        <v>39</v>
      </c>
      <c r="J27" s="13" t="s">
        <v>100</v>
      </c>
      <c r="K27" t="s">
        <v>89</v>
      </c>
      <c r="L27">
        <v>370</v>
      </c>
      <c r="M27">
        <v>3.4000000000000002E-2</v>
      </c>
      <c r="N27" s="14"/>
      <c r="O27">
        <v>500</v>
      </c>
      <c r="P27" s="15">
        <f>O27*M27</f>
        <v>17</v>
      </c>
      <c r="Q27" s="15"/>
      <c r="R27" s="21" t="s">
        <v>65</v>
      </c>
      <c r="S27" s="18">
        <v>306</v>
      </c>
      <c r="T27" s="40">
        <v>1</v>
      </c>
      <c r="U27" s="25">
        <f>S27*T27</f>
        <v>306</v>
      </c>
      <c r="V27" s="18">
        <v>75</v>
      </c>
      <c r="W27" s="44"/>
      <c r="X27" s="44"/>
      <c r="Y27" s="18">
        <v>190</v>
      </c>
      <c r="Z27" s="18">
        <v>0</v>
      </c>
      <c r="AA27" s="18">
        <v>10</v>
      </c>
      <c r="AE27" s="25">
        <f>SUM(U27:AD27)</f>
        <v>581</v>
      </c>
      <c r="AF27" s="25">
        <f>ROUND(AE27*10%,0)</f>
        <v>58</v>
      </c>
      <c r="AG27" s="25">
        <v>0</v>
      </c>
      <c r="AH27" s="25">
        <v>0</v>
      </c>
      <c r="AI27" s="25">
        <v>0</v>
      </c>
      <c r="AJ27" s="25"/>
      <c r="AK27" s="26">
        <f>SUM(AE27:AI27)</f>
        <v>639</v>
      </c>
      <c r="AL27" s="32">
        <f>ROUND(M27*AK27,0)</f>
        <v>22</v>
      </c>
      <c r="BG27" s="53"/>
      <c r="BH27" s="41"/>
      <c r="BI27" s="53"/>
      <c r="BJ27" s="41"/>
      <c r="BK27" s="53"/>
      <c r="BL27" s="53"/>
      <c r="BM27" s="42"/>
      <c r="BN27" s="42"/>
    </row>
    <row r="28" spans="1:68" ht="15" customHeight="1" x14ac:dyDescent="0.25">
      <c r="E28" s="43"/>
      <c r="H28" s="43"/>
      <c r="P28" s="15"/>
      <c r="T28" s="40"/>
      <c r="U28" s="25"/>
      <c r="W28" s="44"/>
      <c r="X28" s="44"/>
      <c r="Y28" s="44"/>
      <c r="AA28" s="69"/>
      <c r="AB28" s="69"/>
      <c r="AE28" s="25"/>
      <c r="AF28" s="25"/>
      <c r="AG28" s="25"/>
      <c r="AH28" s="25"/>
      <c r="AI28" s="25"/>
      <c r="AJ28" s="25"/>
      <c r="AK28" s="26"/>
      <c r="AL28" s="32"/>
      <c r="BG28" s="53"/>
      <c r="BH28" s="41"/>
      <c r="BI28" s="53"/>
      <c r="BJ28" s="41"/>
      <c r="BK28" s="53"/>
      <c r="BL28" s="53"/>
      <c r="BM28" s="42"/>
      <c r="BN28" s="42"/>
    </row>
    <row r="29" spans="1:68" ht="15" customHeight="1" x14ac:dyDescent="0.25">
      <c r="E29" s="43"/>
      <c r="H29" s="43"/>
      <c r="P29" s="15"/>
      <c r="T29" s="40"/>
      <c r="U29" s="25"/>
      <c r="W29" s="44"/>
      <c r="X29" s="44"/>
      <c r="Y29" s="44"/>
      <c r="AA29" s="69"/>
      <c r="AB29" s="69"/>
      <c r="AE29" s="25"/>
      <c r="AF29" s="25"/>
      <c r="AG29" s="25"/>
      <c r="AH29" s="25"/>
      <c r="AI29" s="25"/>
      <c r="AJ29" s="25"/>
      <c r="AK29" s="26"/>
      <c r="AL29" s="32"/>
      <c r="BG29" s="53"/>
      <c r="BH29" s="41"/>
      <c r="BI29" s="53"/>
      <c r="BJ29" s="41"/>
      <c r="BK29" s="53"/>
      <c r="BL29" s="53"/>
      <c r="BM29" s="42"/>
      <c r="BN29" s="42"/>
    </row>
    <row r="30" spans="1:68" ht="15" customHeight="1" x14ac:dyDescent="0.25">
      <c r="A30" s="43">
        <v>7</v>
      </c>
      <c r="B30" s="43" t="s">
        <v>38</v>
      </c>
      <c r="C30" s="43">
        <v>9414</v>
      </c>
      <c r="D30" t="s">
        <v>124</v>
      </c>
      <c r="E30" t="s">
        <v>125</v>
      </c>
      <c r="F30" t="s">
        <v>80</v>
      </c>
      <c r="G30" t="s">
        <v>40</v>
      </c>
      <c r="H30" s="43" t="s">
        <v>164</v>
      </c>
      <c r="I30" t="s">
        <v>39</v>
      </c>
      <c r="J30" t="s">
        <v>99</v>
      </c>
      <c r="K30" t="s">
        <v>83</v>
      </c>
      <c r="L30">
        <v>280</v>
      </c>
      <c r="M30" s="2">
        <v>0.28000000000000003</v>
      </c>
      <c r="O30">
        <v>500</v>
      </c>
      <c r="P30" s="15">
        <f>O30*M30</f>
        <v>140</v>
      </c>
      <c r="R30" s="21" t="s">
        <v>64</v>
      </c>
      <c r="S30" s="18">
        <v>317</v>
      </c>
      <c r="T30" s="40">
        <v>0.7</v>
      </c>
      <c r="U30" s="25">
        <f>S30*T30</f>
        <v>221.89999999999998</v>
      </c>
      <c r="V30" s="18">
        <v>25</v>
      </c>
      <c r="W30" s="44"/>
      <c r="X30" s="44"/>
      <c r="Y30" s="44">
        <v>190</v>
      </c>
      <c r="Z30" s="18">
        <v>12</v>
      </c>
      <c r="AA30" s="69">
        <v>15</v>
      </c>
      <c r="AB30" s="69">
        <v>15</v>
      </c>
      <c r="AC30" s="69"/>
      <c r="AE30" s="25">
        <f>SUM(U30:AD31)</f>
        <v>567.4</v>
      </c>
      <c r="AF30" s="25">
        <f>ROUND(AE30*10%,0)</f>
        <v>57</v>
      </c>
      <c r="AG30" s="25">
        <v>0</v>
      </c>
      <c r="AH30" s="25">
        <v>0</v>
      </c>
      <c r="AI30" s="25">
        <v>0</v>
      </c>
      <c r="AJ30" s="25"/>
      <c r="AK30" s="26">
        <f>SUM(AE30:AI30)</f>
        <v>624.4</v>
      </c>
      <c r="AL30" s="32">
        <f>ROUND(M30*AK30,0)</f>
        <v>175</v>
      </c>
      <c r="AM30">
        <v>40</v>
      </c>
      <c r="AN30">
        <v>18</v>
      </c>
      <c r="AO30">
        <v>3</v>
      </c>
      <c r="AP30">
        <v>3</v>
      </c>
      <c r="AQ30">
        <v>1</v>
      </c>
      <c r="AR30">
        <v>0</v>
      </c>
      <c r="AS30">
        <v>0</v>
      </c>
      <c r="AW30">
        <v>1</v>
      </c>
      <c r="AX30">
        <v>0</v>
      </c>
      <c r="AY30">
        <v>0</v>
      </c>
      <c r="AZ30">
        <v>30</v>
      </c>
      <c r="BA30">
        <v>30</v>
      </c>
      <c r="BB30">
        <v>0</v>
      </c>
      <c r="BC30">
        <v>0</v>
      </c>
      <c r="BD30">
        <v>4</v>
      </c>
      <c r="BE30">
        <v>8</v>
      </c>
      <c r="BF30">
        <v>0</v>
      </c>
      <c r="BG30" s="53">
        <f>SUM(AL30:BF32)</f>
        <v>338</v>
      </c>
      <c r="BH30" s="41">
        <f>ROUND(BG30*3%,0)</f>
        <v>10</v>
      </c>
      <c r="BI30" s="53">
        <f>BG30+BH30</f>
        <v>348</v>
      </c>
      <c r="BJ30" s="72">
        <v>0.14000000000000001</v>
      </c>
      <c r="BK30" s="53">
        <f>BI30*BJ30+BI30</f>
        <v>396.72</v>
      </c>
      <c r="BL30" s="53">
        <v>92</v>
      </c>
      <c r="BM30" s="42">
        <f>BK30/BL30</f>
        <v>4.3121739130434786</v>
      </c>
      <c r="BN30" s="42"/>
      <c r="BO30" s="59">
        <v>4.3</v>
      </c>
      <c r="BP30" s="59"/>
    </row>
    <row r="31" spans="1:68" ht="15" customHeight="1" x14ac:dyDescent="0.25">
      <c r="H31" s="58"/>
      <c r="M31" s="2"/>
      <c r="R31" s="21" t="s">
        <v>65</v>
      </c>
      <c r="S31" s="18">
        <v>295</v>
      </c>
      <c r="T31" s="40">
        <v>0.3</v>
      </c>
      <c r="U31" s="25">
        <f>S31*T31</f>
        <v>88.5</v>
      </c>
      <c r="W31" s="44"/>
      <c r="X31" s="44"/>
      <c r="Y31" s="44"/>
      <c r="AL31" s="32"/>
      <c r="BG31" s="53"/>
      <c r="BH31" s="41"/>
      <c r="BI31" s="53"/>
      <c r="BJ31" s="41"/>
      <c r="BK31" s="53"/>
      <c r="BL31" s="53"/>
      <c r="BM31" s="42"/>
      <c r="BN31" s="42"/>
      <c r="BO31" s="59"/>
      <c r="BP31" s="59"/>
    </row>
    <row r="32" spans="1:68" ht="15" customHeight="1" x14ac:dyDescent="0.25">
      <c r="H32" s="58"/>
      <c r="J32" t="s">
        <v>126</v>
      </c>
      <c r="K32" t="s">
        <v>127</v>
      </c>
      <c r="L32">
        <v>370</v>
      </c>
      <c r="M32" s="2">
        <v>0.04</v>
      </c>
      <c r="O32">
        <v>500</v>
      </c>
      <c r="P32" s="15">
        <f>O32*M32</f>
        <v>20</v>
      </c>
      <c r="R32" s="21" t="s">
        <v>65</v>
      </c>
      <c r="S32" s="18">
        <v>295</v>
      </c>
      <c r="T32" s="40">
        <v>1</v>
      </c>
      <c r="U32" s="25">
        <f>S32*T32</f>
        <v>295</v>
      </c>
      <c r="V32" s="18">
        <v>75</v>
      </c>
      <c r="W32" s="44"/>
      <c r="X32" s="44"/>
      <c r="Y32" s="44">
        <v>190</v>
      </c>
      <c r="Z32" s="18">
        <v>0</v>
      </c>
      <c r="AA32" s="18">
        <v>10</v>
      </c>
      <c r="AE32" s="25">
        <f>SUM(U32:AD32)</f>
        <v>570</v>
      </c>
      <c r="AF32" s="25">
        <f>ROUND(AE32*10%,0)</f>
        <v>57</v>
      </c>
      <c r="AG32" s="25">
        <v>0</v>
      </c>
      <c r="AH32" s="25">
        <v>0</v>
      </c>
      <c r="AI32" s="25">
        <v>0</v>
      </c>
      <c r="AJ32" s="25"/>
      <c r="AK32" s="26">
        <f>SUM(AE32:AI32)</f>
        <v>627</v>
      </c>
      <c r="AL32" s="32">
        <f>ROUND(M32*AK32,0)</f>
        <v>25</v>
      </c>
      <c r="BG32" s="41"/>
      <c r="BH32" s="41"/>
      <c r="BI32" s="41"/>
      <c r="BJ32" s="41"/>
      <c r="BK32" s="41"/>
      <c r="BL32" s="41"/>
      <c r="BM32" s="42"/>
      <c r="BN32" s="42"/>
      <c r="BO32" s="59"/>
      <c r="BP32" s="59"/>
    </row>
    <row r="33" spans="1:68" ht="15" customHeight="1" x14ac:dyDescent="0.25">
      <c r="G33" s="43"/>
      <c r="H33" s="43"/>
      <c r="I33" s="43"/>
      <c r="J33" s="43"/>
      <c r="K33" s="43"/>
      <c r="P33" s="15"/>
      <c r="S33" s="27"/>
      <c r="T33" s="27"/>
      <c r="U33" s="27"/>
      <c r="V33" s="27"/>
      <c r="W33" s="44"/>
      <c r="X33" s="44"/>
      <c r="Y33" s="44"/>
      <c r="Z33" s="27"/>
      <c r="AA33" s="27"/>
      <c r="AB33" s="27"/>
      <c r="AC33" s="27"/>
      <c r="AD33" s="27"/>
      <c r="AE33" s="25"/>
      <c r="AF33" s="25"/>
      <c r="AG33" s="25"/>
      <c r="AH33" s="25"/>
      <c r="AI33" s="25"/>
      <c r="AJ33" s="25"/>
      <c r="AK33" s="31"/>
      <c r="AL33" s="32"/>
      <c r="BG33" s="41"/>
      <c r="BH33" s="41"/>
      <c r="BI33" s="41"/>
      <c r="BJ33" s="41"/>
      <c r="BK33" s="41"/>
      <c r="BL33" s="41"/>
      <c r="BM33" s="42"/>
      <c r="BN33" s="42"/>
    </row>
    <row r="34" spans="1:68" x14ac:dyDescent="0.25">
      <c r="A34" s="13">
        <v>8</v>
      </c>
      <c r="B34" s="43" t="s">
        <v>38</v>
      </c>
      <c r="C34" s="43">
        <v>9414</v>
      </c>
      <c r="D34" s="14" t="s">
        <v>104</v>
      </c>
      <c r="E34" s="14" t="s">
        <v>105</v>
      </c>
      <c r="F34" s="14" t="s">
        <v>80</v>
      </c>
      <c r="G34" t="s">
        <v>40</v>
      </c>
      <c r="H34" s="13" t="s">
        <v>96</v>
      </c>
      <c r="I34" t="s">
        <v>39</v>
      </c>
      <c r="J34" t="s">
        <v>99</v>
      </c>
      <c r="K34" t="s">
        <v>83</v>
      </c>
      <c r="L34">
        <v>280</v>
      </c>
      <c r="M34" s="2">
        <v>0.3</v>
      </c>
      <c r="N34" s="14"/>
      <c r="O34">
        <v>500</v>
      </c>
      <c r="P34" s="15">
        <f>O34*M34</f>
        <v>150</v>
      </c>
      <c r="Q34" s="15"/>
      <c r="R34" s="21" t="s">
        <v>64</v>
      </c>
      <c r="S34" s="18">
        <v>317</v>
      </c>
      <c r="T34" s="40">
        <v>0.7</v>
      </c>
      <c r="U34" s="25">
        <f>S34*T34</f>
        <v>221.89999999999998</v>
      </c>
      <c r="V34" s="18">
        <v>25</v>
      </c>
      <c r="W34" s="44"/>
      <c r="X34" s="44"/>
      <c r="Y34" s="44">
        <v>190</v>
      </c>
      <c r="Z34" s="18">
        <v>12</v>
      </c>
      <c r="AA34" s="69">
        <v>15</v>
      </c>
      <c r="AB34" s="69">
        <v>15</v>
      </c>
      <c r="AE34" s="25">
        <f>SUM(U34:AD35)</f>
        <v>567.4</v>
      </c>
      <c r="AF34" s="25">
        <f>ROUND(AE34*10%,0)</f>
        <v>57</v>
      </c>
      <c r="AG34" s="25">
        <v>0</v>
      </c>
      <c r="AH34" s="25">
        <v>0</v>
      </c>
      <c r="AI34" s="25">
        <v>0</v>
      </c>
      <c r="AJ34" s="25"/>
      <c r="AK34" s="26">
        <f>SUM(AE34:AI34)</f>
        <v>624.4</v>
      </c>
      <c r="AL34" s="32">
        <f>ROUND(M34*AK34,0)</f>
        <v>187</v>
      </c>
      <c r="AM34">
        <v>67</v>
      </c>
      <c r="AN34">
        <v>18</v>
      </c>
      <c r="AO34">
        <v>3</v>
      </c>
      <c r="AP34">
        <v>3</v>
      </c>
      <c r="AQ34">
        <v>0</v>
      </c>
      <c r="AR34">
        <v>0</v>
      </c>
      <c r="AT34">
        <v>60</v>
      </c>
      <c r="AU34">
        <v>0</v>
      </c>
      <c r="AV34">
        <v>0</v>
      </c>
      <c r="AW34">
        <v>2</v>
      </c>
      <c r="AX34">
        <v>0</v>
      </c>
      <c r="AY34">
        <v>0</v>
      </c>
      <c r="AZ34">
        <v>70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 s="53">
        <f>SUM(AL34:BF36)</f>
        <v>463</v>
      </c>
      <c r="BH34" s="41">
        <f>ROUND(BG34*3%,0)</f>
        <v>14</v>
      </c>
      <c r="BI34" s="53">
        <f>BG34+BH34</f>
        <v>477</v>
      </c>
      <c r="BJ34" s="72">
        <v>0.09</v>
      </c>
      <c r="BK34" s="53">
        <f>BI34*BJ34+BI34</f>
        <v>519.92999999999995</v>
      </c>
      <c r="BL34" s="53">
        <v>92</v>
      </c>
      <c r="BM34" s="42">
        <f>BK34/BL34</f>
        <v>5.6514130434782599</v>
      </c>
      <c r="BN34" s="42"/>
      <c r="BO34" s="73">
        <v>5.65</v>
      </c>
    </row>
    <row r="35" spans="1:68" ht="15" customHeight="1" x14ac:dyDescent="0.25">
      <c r="A35" s="13"/>
      <c r="B35" s="13"/>
      <c r="C35" s="13"/>
      <c r="D35" s="14"/>
      <c r="E35" s="14"/>
      <c r="F35" s="14"/>
      <c r="G35" s="13"/>
      <c r="H35" s="13"/>
      <c r="I35" s="13"/>
      <c r="J35" s="13"/>
      <c r="K35" s="13"/>
      <c r="L35" s="14"/>
      <c r="M35" s="15"/>
      <c r="N35" s="14"/>
      <c r="O35" s="14"/>
      <c r="P35" s="15"/>
      <c r="Q35" s="15"/>
      <c r="R35" s="21" t="s">
        <v>65</v>
      </c>
      <c r="S35" s="18">
        <v>295</v>
      </c>
      <c r="T35" s="40">
        <v>0.3</v>
      </c>
      <c r="U35" s="25">
        <f>S35*T35</f>
        <v>88.5</v>
      </c>
      <c r="W35" s="44"/>
      <c r="X35" s="44"/>
      <c r="Y35" s="44"/>
      <c r="AL35" s="32"/>
      <c r="BG35" s="53"/>
      <c r="BH35" s="41"/>
      <c r="BI35" s="53"/>
      <c r="BJ35" s="41"/>
      <c r="BK35" s="53"/>
      <c r="BL35" s="53"/>
      <c r="BM35" s="42"/>
      <c r="BN35" s="42"/>
    </row>
    <row r="36" spans="1:68" x14ac:dyDescent="0.25">
      <c r="A36" s="13"/>
      <c r="B36" s="43" t="s">
        <v>38</v>
      </c>
      <c r="C36" s="43">
        <v>9414</v>
      </c>
      <c r="D36" s="14" t="s">
        <v>104</v>
      </c>
      <c r="E36" s="14" t="s">
        <v>105</v>
      </c>
      <c r="F36" t="s">
        <v>103</v>
      </c>
      <c r="G36" s="13" t="s">
        <v>17</v>
      </c>
      <c r="H36" s="13" t="s">
        <v>96</v>
      </c>
      <c r="I36" t="s">
        <v>39</v>
      </c>
      <c r="J36" s="13" t="s">
        <v>100</v>
      </c>
      <c r="K36" t="s">
        <v>89</v>
      </c>
      <c r="L36">
        <v>370</v>
      </c>
      <c r="M36">
        <v>8.5000000000000006E-2</v>
      </c>
      <c r="N36" s="14"/>
      <c r="O36">
        <v>500</v>
      </c>
      <c r="P36" s="15">
        <f>O36*M36</f>
        <v>42.5</v>
      </c>
      <c r="Q36" s="15"/>
      <c r="R36" s="21" t="s">
        <v>65</v>
      </c>
      <c r="S36" s="18">
        <v>295</v>
      </c>
      <c r="T36" s="40">
        <v>1</v>
      </c>
      <c r="U36" s="25">
        <f>S36*T36</f>
        <v>295</v>
      </c>
      <c r="V36" s="18">
        <v>75</v>
      </c>
      <c r="W36" s="44"/>
      <c r="X36" s="44"/>
      <c r="Y36" s="18">
        <v>190</v>
      </c>
      <c r="Z36" s="18">
        <v>0</v>
      </c>
      <c r="AA36" s="18">
        <v>10</v>
      </c>
      <c r="AE36" s="25">
        <f>SUM(U36:AD36)</f>
        <v>570</v>
      </c>
      <c r="AF36" s="25">
        <f>ROUND(AE36*10%,0)</f>
        <v>57</v>
      </c>
      <c r="AG36" s="25">
        <v>0</v>
      </c>
      <c r="AH36" s="25">
        <v>0</v>
      </c>
      <c r="AI36" s="25">
        <v>0</v>
      </c>
      <c r="AJ36" s="25"/>
      <c r="AK36" s="26">
        <f>SUM(AE36:AI36)</f>
        <v>627</v>
      </c>
      <c r="AL36" s="32">
        <f>ROUND(M36*AK36,0)</f>
        <v>53</v>
      </c>
      <c r="BG36" s="53"/>
      <c r="BH36" s="41"/>
      <c r="BI36" s="53"/>
      <c r="BJ36" s="41"/>
      <c r="BK36" s="53"/>
      <c r="BL36" s="53"/>
      <c r="BM36" s="42"/>
      <c r="BN36" s="42"/>
    </row>
    <row r="37" spans="1:68" ht="15" customHeight="1" x14ac:dyDescent="0.25">
      <c r="W37" s="44"/>
      <c r="X37" s="44"/>
      <c r="Y37" s="44"/>
      <c r="AL37" s="29"/>
      <c r="BJ37" s="30"/>
      <c r="BM37" s="68"/>
      <c r="BN37" s="68"/>
    </row>
    <row r="38" spans="1:68" x14ac:dyDescent="0.25">
      <c r="A38" s="43">
        <v>9</v>
      </c>
      <c r="B38" s="43" t="s">
        <v>38</v>
      </c>
      <c r="C38" s="43">
        <v>9414</v>
      </c>
      <c r="D38" t="s">
        <v>128</v>
      </c>
      <c r="E38" t="s">
        <v>129</v>
      </c>
      <c r="F38" t="s">
        <v>80</v>
      </c>
      <c r="G38" t="s">
        <v>40</v>
      </c>
      <c r="H38" s="58" t="s">
        <v>165</v>
      </c>
      <c r="I38" t="s">
        <v>39</v>
      </c>
      <c r="J38" t="s">
        <v>99</v>
      </c>
      <c r="K38" t="s">
        <v>83</v>
      </c>
      <c r="L38">
        <v>280</v>
      </c>
      <c r="M38">
        <v>0.35</v>
      </c>
      <c r="O38">
        <v>500</v>
      </c>
      <c r="P38" s="15">
        <f>O38*M38</f>
        <v>175</v>
      </c>
      <c r="R38" s="21" t="s">
        <v>64</v>
      </c>
      <c r="S38" s="18">
        <v>317</v>
      </c>
      <c r="T38" s="40">
        <v>0.7</v>
      </c>
      <c r="U38" s="25">
        <f>S38*T38</f>
        <v>221.89999999999998</v>
      </c>
      <c r="V38" s="18">
        <v>25</v>
      </c>
      <c r="W38" s="44"/>
      <c r="X38" s="44"/>
      <c r="Y38" s="44">
        <v>130</v>
      </c>
      <c r="Z38" s="18">
        <v>12</v>
      </c>
      <c r="AA38" s="69">
        <v>15</v>
      </c>
      <c r="AB38" s="69">
        <v>15</v>
      </c>
      <c r="AC38" s="69"/>
      <c r="AE38" s="25">
        <f>SUM(U38:AD39)</f>
        <v>507.4</v>
      </c>
      <c r="AF38" s="25">
        <f>ROUND(AE38*10%,0)</f>
        <v>51</v>
      </c>
      <c r="AG38" s="25">
        <v>0</v>
      </c>
      <c r="AH38" s="25">
        <v>0</v>
      </c>
      <c r="AI38" s="25">
        <v>0</v>
      </c>
      <c r="AJ38" s="25"/>
      <c r="AK38" s="26">
        <f>SUM(AE38:AI38)</f>
        <v>558.4</v>
      </c>
      <c r="AL38" s="32">
        <f>ROUND(M38*AK38,0)</f>
        <v>195</v>
      </c>
      <c r="AM38">
        <v>58</v>
      </c>
      <c r="AN38">
        <v>18</v>
      </c>
      <c r="AO38">
        <v>3</v>
      </c>
      <c r="AP38">
        <v>3</v>
      </c>
      <c r="AQ38">
        <v>0</v>
      </c>
      <c r="AR38">
        <v>0</v>
      </c>
      <c r="AS38">
        <v>0</v>
      </c>
      <c r="AW38">
        <v>1</v>
      </c>
      <c r="AX38">
        <v>0</v>
      </c>
      <c r="AY38">
        <v>0</v>
      </c>
      <c r="AZ38">
        <v>15</v>
      </c>
      <c r="BA38">
        <v>45</v>
      </c>
      <c r="BB38">
        <v>0</v>
      </c>
      <c r="BC38">
        <v>0</v>
      </c>
      <c r="BD38">
        <v>0</v>
      </c>
      <c r="BE38">
        <v>0</v>
      </c>
      <c r="BF38">
        <v>0</v>
      </c>
      <c r="BG38" s="53">
        <f>SUM(AL38:BF41)</f>
        <v>400</v>
      </c>
      <c r="BH38" s="41">
        <f>ROUND(BG38*3%,0)</f>
        <v>12</v>
      </c>
      <c r="BI38" s="53">
        <f>BG38+BH38</f>
        <v>412</v>
      </c>
      <c r="BJ38" s="72">
        <v>0.08</v>
      </c>
      <c r="BK38" s="53">
        <f>BI38*BJ38+BI38</f>
        <v>444.96</v>
      </c>
      <c r="BL38" s="53">
        <v>92</v>
      </c>
      <c r="BM38" s="42">
        <f>BK38/BL38</f>
        <v>4.8365217391304345</v>
      </c>
      <c r="BN38" s="42"/>
      <c r="BO38" s="59">
        <v>4.8499999999999996</v>
      </c>
      <c r="BP38" s="59"/>
    </row>
    <row r="39" spans="1:68" ht="15" customHeight="1" x14ac:dyDescent="0.25">
      <c r="H39" s="58"/>
      <c r="P39" s="15"/>
      <c r="R39" s="21" t="s">
        <v>65</v>
      </c>
      <c r="S39" s="18">
        <v>295</v>
      </c>
      <c r="T39" s="40">
        <v>0.3</v>
      </c>
      <c r="U39" s="25">
        <f>S39*T39</f>
        <v>88.5</v>
      </c>
      <c r="W39" s="44"/>
      <c r="X39" s="44"/>
      <c r="Y39" s="44"/>
      <c r="AL39" s="32"/>
      <c r="BG39" s="53"/>
      <c r="BH39" s="41"/>
      <c r="BI39" s="53"/>
      <c r="BJ39" s="41"/>
      <c r="BK39" s="53"/>
      <c r="BL39" s="53"/>
      <c r="BM39" s="42"/>
      <c r="BN39" s="42"/>
      <c r="BO39" s="59"/>
      <c r="BP39" s="59"/>
    </row>
    <row r="40" spans="1:68" x14ac:dyDescent="0.25">
      <c r="B40" s="43" t="s">
        <v>38</v>
      </c>
      <c r="C40" s="43">
        <v>9414</v>
      </c>
      <c r="D40" t="s">
        <v>128</v>
      </c>
      <c r="E40" t="s">
        <v>129</v>
      </c>
      <c r="F40" t="s">
        <v>103</v>
      </c>
      <c r="G40" t="s">
        <v>17</v>
      </c>
      <c r="H40" s="58" t="s">
        <v>165</v>
      </c>
      <c r="I40" t="s">
        <v>39</v>
      </c>
      <c r="J40" t="s">
        <v>126</v>
      </c>
      <c r="K40" t="s">
        <v>127</v>
      </c>
      <c r="L40">
        <v>370</v>
      </c>
      <c r="M40" s="2">
        <v>0.06</v>
      </c>
      <c r="O40">
        <v>500</v>
      </c>
      <c r="P40" s="15">
        <f>O40*M40</f>
        <v>30</v>
      </c>
      <c r="R40" s="21" t="s">
        <v>65</v>
      </c>
      <c r="S40" s="18">
        <v>295</v>
      </c>
      <c r="T40" s="40">
        <v>1</v>
      </c>
      <c r="U40" s="25">
        <f>S40*T40</f>
        <v>295</v>
      </c>
      <c r="V40" s="18">
        <v>75</v>
      </c>
      <c r="W40" s="44"/>
      <c r="X40" s="44"/>
      <c r="Y40" s="44">
        <v>130</v>
      </c>
      <c r="Z40" s="18">
        <v>0</v>
      </c>
      <c r="AA40" s="18">
        <v>10</v>
      </c>
      <c r="AE40" s="25">
        <f>SUM(U40:AD40)</f>
        <v>510</v>
      </c>
      <c r="AF40" s="25">
        <f>ROUND(AE40*10%,0)</f>
        <v>51</v>
      </c>
      <c r="AG40" s="25">
        <v>0</v>
      </c>
      <c r="AH40" s="25">
        <v>0</v>
      </c>
      <c r="AI40" s="25">
        <v>0</v>
      </c>
      <c r="AJ40" s="25"/>
      <c r="AK40" s="26">
        <f>SUM(AE40:AI40)</f>
        <v>561</v>
      </c>
      <c r="AL40" s="32">
        <f>ROUND(M40*AK40,0)</f>
        <v>34</v>
      </c>
      <c r="BG40" s="41"/>
      <c r="BH40" s="41"/>
      <c r="BI40" s="41"/>
      <c r="BJ40" s="41"/>
      <c r="BK40" s="41"/>
      <c r="BL40" s="41"/>
      <c r="BM40" s="42"/>
      <c r="BN40" s="42"/>
      <c r="BO40" s="59"/>
      <c r="BP40" s="59"/>
    </row>
    <row r="41" spans="1:68" x14ac:dyDescent="0.25">
      <c r="B41" s="43" t="s">
        <v>38</v>
      </c>
      <c r="C41" s="43">
        <v>9414</v>
      </c>
      <c r="D41" t="s">
        <v>128</v>
      </c>
      <c r="E41" t="s">
        <v>129</v>
      </c>
      <c r="F41" t="s">
        <v>130</v>
      </c>
      <c r="G41" t="s">
        <v>97</v>
      </c>
      <c r="H41" s="58" t="s">
        <v>165</v>
      </c>
      <c r="I41" t="s">
        <v>39</v>
      </c>
      <c r="J41" t="s">
        <v>18</v>
      </c>
      <c r="K41" t="s">
        <v>83</v>
      </c>
      <c r="L41">
        <v>200</v>
      </c>
      <c r="M41" s="2">
        <v>5.5E-2</v>
      </c>
      <c r="O41">
        <v>500</v>
      </c>
      <c r="P41" s="15">
        <f>O41*M41</f>
        <v>27.5</v>
      </c>
      <c r="R41" s="21" t="s">
        <v>131</v>
      </c>
      <c r="S41" s="27">
        <v>300</v>
      </c>
      <c r="T41" s="70">
        <v>1</v>
      </c>
      <c r="U41" s="70">
        <f>S41*T41</f>
        <v>300</v>
      </c>
      <c r="V41" s="27">
        <v>15</v>
      </c>
      <c r="W41" s="44"/>
      <c r="X41" s="44"/>
      <c r="Y41" s="44">
        <v>130</v>
      </c>
      <c r="Z41" s="27">
        <v>12</v>
      </c>
      <c r="AA41" s="69">
        <v>12</v>
      </c>
      <c r="AE41" s="25">
        <f>SUM(U41:AD41)</f>
        <v>469</v>
      </c>
      <c r="AF41" s="25">
        <f>ROUND(AE41*10%,0)</f>
        <v>47</v>
      </c>
      <c r="AG41" s="25">
        <v>0</v>
      </c>
      <c r="AH41" s="25">
        <v>0</v>
      </c>
      <c r="AI41" s="25">
        <v>0</v>
      </c>
      <c r="AJ41" s="25"/>
      <c r="AK41" s="26">
        <f>SUM(AE41:AI41)</f>
        <v>516</v>
      </c>
      <c r="AL41" s="32">
        <f>ROUND(M41*AK41,0)</f>
        <v>28</v>
      </c>
      <c r="BH41" s="30"/>
      <c r="BJ41" s="30"/>
      <c r="BM41" s="68"/>
      <c r="BN41" s="68"/>
      <c r="BO41" s="59"/>
      <c r="BP41" s="59"/>
    </row>
    <row r="42" spans="1:68" x14ac:dyDescent="0.25">
      <c r="A42" s="41"/>
      <c r="G42" s="13"/>
      <c r="J42" s="13"/>
      <c r="P42" s="15"/>
      <c r="Q42" s="15"/>
      <c r="T42" s="40"/>
      <c r="U42" s="25"/>
      <c r="W42" s="44"/>
      <c r="X42" s="44"/>
      <c r="AE42" s="25"/>
      <c r="AF42" s="25"/>
      <c r="AG42" s="25"/>
      <c r="AH42" s="25"/>
      <c r="AI42" s="25"/>
      <c r="AJ42" s="25"/>
      <c r="AK42" s="26"/>
      <c r="AL42" s="32"/>
      <c r="BG42" s="53"/>
      <c r="BH42" s="41"/>
      <c r="BI42" s="53"/>
      <c r="BJ42" s="41"/>
      <c r="BK42" s="53"/>
      <c r="BL42" s="53"/>
      <c r="BM42" s="42"/>
      <c r="BN42" s="42"/>
    </row>
    <row r="43" spans="1:68" ht="15" customHeight="1" x14ac:dyDescent="0.25">
      <c r="A43" s="43">
        <v>10</v>
      </c>
      <c r="B43" s="43" t="s">
        <v>38</v>
      </c>
      <c r="C43" s="43">
        <v>9414</v>
      </c>
      <c r="D43" t="s">
        <v>132</v>
      </c>
      <c r="E43" t="s">
        <v>133</v>
      </c>
      <c r="F43" t="s">
        <v>80</v>
      </c>
      <c r="G43" t="s">
        <v>40</v>
      </c>
      <c r="H43" s="43" t="s">
        <v>164</v>
      </c>
      <c r="I43" t="s">
        <v>39</v>
      </c>
      <c r="J43" t="s">
        <v>99</v>
      </c>
      <c r="K43" t="s">
        <v>83</v>
      </c>
      <c r="L43">
        <v>280</v>
      </c>
      <c r="M43">
        <v>0.255</v>
      </c>
      <c r="O43">
        <v>500</v>
      </c>
      <c r="P43" s="15">
        <f>O43*M43</f>
        <v>127.5</v>
      </c>
      <c r="R43" s="21" t="s">
        <v>64</v>
      </c>
      <c r="S43" s="18">
        <v>317</v>
      </c>
      <c r="T43" s="40">
        <v>0.7</v>
      </c>
      <c r="U43" s="25">
        <f>S43*T43</f>
        <v>221.89999999999998</v>
      </c>
      <c r="V43" s="18">
        <v>25</v>
      </c>
      <c r="W43" s="44"/>
      <c r="X43" s="44"/>
      <c r="Y43" s="44">
        <v>190</v>
      </c>
      <c r="Z43" s="18">
        <v>12</v>
      </c>
      <c r="AA43" s="69">
        <v>15</v>
      </c>
      <c r="AB43" s="69">
        <v>15</v>
      </c>
      <c r="AC43" s="69"/>
      <c r="AE43" s="25">
        <f>SUM(U43:AD44)</f>
        <v>567.4</v>
      </c>
      <c r="AF43" s="25">
        <f>ROUND(AE43*10%,0)</f>
        <v>57</v>
      </c>
      <c r="AG43" s="25">
        <v>0</v>
      </c>
      <c r="AH43" s="25">
        <v>0</v>
      </c>
      <c r="AI43" s="25">
        <v>0</v>
      </c>
      <c r="AJ43" s="25"/>
      <c r="AK43" s="26">
        <f>SUM(AE43:AI43)</f>
        <v>624.4</v>
      </c>
      <c r="AL43" s="32">
        <f>ROUND(M43*AK43,0)</f>
        <v>159</v>
      </c>
      <c r="AM43">
        <v>45</v>
      </c>
      <c r="AN43">
        <v>18</v>
      </c>
      <c r="AO43">
        <v>3</v>
      </c>
      <c r="AP43">
        <v>3</v>
      </c>
      <c r="AQ43">
        <v>0</v>
      </c>
      <c r="AR43">
        <v>0</v>
      </c>
      <c r="AS43">
        <v>0</v>
      </c>
      <c r="AW43">
        <v>1</v>
      </c>
      <c r="AX43">
        <v>0</v>
      </c>
      <c r="AY43">
        <v>0</v>
      </c>
      <c r="AZ43">
        <v>15</v>
      </c>
      <c r="BA43">
        <v>45</v>
      </c>
      <c r="BB43">
        <v>0</v>
      </c>
      <c r="BC43">
        <v>0</v>
      </c>
      <c r="BD43">
        <v>0</v>
      </c>
      <c r="BE43">
        <v>0</v>
      </c>
      <c r="BF43">
        <v>0</v>
      </c>
      <c r="BG43" s="53">
        <f>SUM(AL43:BF45)</f>
        <v>336</v>
      </c>
      <c r="BH43" s="41">
        <f>ROUND(BG43*3%,0)</f>
        <v>10</v>
      </c>
      <c r="BI43" s="53">
        <f>BG43+BH43</f>
        <v>346</v>
      </c>
      <c r="BJ43" s="64">
        <v>0.05</v>
      </c>
      <c r="BK43" s="53">
        <f>BI43*BJ43+BI43</f>
        <v>363.3</v>
      </c>
      <c r="BL43" s="53">
        <v>92</v>
      </c>
      <c r="BM43" s="42">
        <f>BK43/BL43</f>
        <v>3.9489130434782611</v>
      </c>
      <c r="BN43" s="42"/>
      <c r="BO43" s="59">
        <v>3.95</v>
      </c>
      <c r="BP43" s="59"/>
    </row>
    <row r="44" spans="1:68" ht="15" customHeight="1" x14ac:dyDescent="0.25">
      <c r="H44" s="58"/>
      <c r="P44" s="15"/>
      <c r="R44" s="21" t="s">
        <v>65</v>
      </c>
      <c r="S44" s="18">
        <v>295</v>
      </c>
      <c r="T44" s="40">
        <v>0.3</v>
      </c>
      <c r="U44" s="25">
        <f>S44*T44</f>
        <v>88.5</v>
      </c>
      <c r="W44" s="44"/>
      <c r="X44" s="44"/>
      <c r="Y44" s="44"/>
      <c r="AL44" s="32"/>
      <c r="BG44" s="53"/>
      <c r="BH44" s="41"/>
      <c r="BI44" s="53"/>
      <c r="BJ44" s="41"/>
      <c r="BK44" s="53"/>
      <c r="BL44" s="53"/>
      <c r="BM44" s="42"/>
      <c r="BN44" s="42"/>
      <c r="BO44" s="59"/>
      <c r="BP44" s="59"/>
    </row>
    <row r="45" spans="1:68" ht="15" customHeight="1" x14ac:dyDescent="0.25">
      <c r="B45" s="43" t="s">
        <v>38</v>
      </c>
      <c r="C45" s="43">
        <v>9414</v>
      </c>
      <c r="D45" t="s">
        <v>132</v>
      </c>
      <c r="E45" t="s">
        <v>133</v>
      </c>
      <c r="F45" t="s">
        <v>103</v>
      </c>
      <c r="G45" t="s">
        <v>17</v>
      </c>
      <c r="H45" s="43" t="s">
        <v>164</v>
      </c>
      <c r="J45" t="s">
        <v>126</v>
      </c>
      <c r="K45" t="s">
        <v>127</v>
      </c>
      <c r="L45">
        <v>370</v>
      </c>
      <c r="M45" s="2">
        <v>7.4999999999999997E-2</v>
      </c>
      <c r="O45">
        <v>500</v>
      </c>
      <c r="P45" s="15">
        <f>O45*M45</f>
        <v>37.5</v>
      </c>
      <c r="R45" s="21" t="s">
        <v>65</v>
      </c>
      <c r="S45" s="18">
        <v>295</v>
      </c>
      <c r="T45" s="40">
        <v>1</v>
      </c>
      <c r="U45" s="25">
        <f>S45*T45</f>
        <v>295</v>
      </c>
      <c r="V45" s="18">
        <v>75</v>
      </c>
      <c r="W45" s="44"/>
      <c r="X45" s="44"/>
      <c r="Y45" s="44">
        <v>190</v>
      </c>
      <c r="Z45" s="18">
        <v>0</v>
      </c>
      <c r="AA45" s="18">
        <v>10</v>
      </c>
      <c r="AE45" s="25">
        <f>SUM(U45:AD45)</f>
        <v>570</v>
      </c>
      <c r="AF45" s="25">
        <f>ROUND(AE45*10%,0)</f>
        <v>57</v>
      </c>
      <c r="AG45" s="25">
        <v>0</v>
      </c>
      <c r="AH45" s="25">
        <v>0</v>
      </c>
      <c r="AI45" s="25">
        <v>0</v>
      </c>
      <c r="AJ45" s="25"/>
      <c r="AK45" s="26">
        <f>SUM(AE45:AI45)</f>
        <v>627</v>
      </c>
      <c r="AL45" s="32">
        <f>ROUND(M45*AK45,0)</f>
        <v>47</v>
      </c>
      <c r="BG45" s="41"/>
      <c r="BH45" s="41"/>
      <c r="BI45" s="41"/>
      <c r="BJ45" s="41"/>
      <c r="BK45" s="41"/>
      <c r="BL45" s="41"/>
      <c r="BM45" s="42"/>
      <c r="BN45" s="42"/>
      <c r="BO45" s="59"/>
      <c r="BP45" s="59"/>
    </row>
    <row r="46" spans="1:68" ht="15" customHeight="1" x14ac:dyDescent="0.25">
      <c r="A46" s="13"/>
      <c r="B46" s="13"/>
      <c r="C46" s="13"/>
      <c r="D46" s="14"/>
      <c r="E46" s="14"/>
      <c r="F46" s="14"/>
      <c r="G46" s="13"/>
      <c r="H46" s="13"/>
      <c r="I46" s="13"/>
      <c r="L46" s="14"/>
      <c r="M46" s="14"/>
      <c r="N46" s="14"/>
      <c r="O46" s="14"/>
      <c r="P46" s="15"/>
      <c r="Q46" s="15"/>
      <c r="R46" s="24"/>
      <c r="S46" s="27"/>
      <c r="T46" s="27"/>
      <c r="U46" s="27"/>
      <c r="V46" s="27"/>
      <c r="W46" s="27"/>
      <c r="X46" s="27"/>
      <c r="Y46" s="27"/>
      <c r="Z46" s="27"/>
      <c r="AA46" s="27"/>
    </row>
    <row r="47" spans="1:68" ht="15" customHeight="1" x14ac:dyDescent="0.25">
      <c r="A47" s="43">
        <v>11</v>
      </c>
      <c r="B47" s="43" t="s">
        <v>38</v>
      </c>
      <c r="C47" s="43">
        <v>9414</v>
      </c>
      <c r="D47" t="s">
        <v>134</v>
      </c>
      <c r="E47" t="s">
        <v>135</v>
      </c>
      <c r="F47" t="s">
        <v>80</v>
      </c>
      <c r="G47" t="s">
        <v>40</v>
      </c>
      <c r="H47" s="43" t="s">
        <v>164</v>
      </c>
      <c r="I47" t="s">
        <v>39</v>
      </c>
      <c r="J47" t="s">
        <v>99</v>
      </c>
      <c r="K47" t="s">
        <v>83</v>
      </c>
      <c r="L47">
        <v>280</v>
      </c>
      <c r="M47" s="2">
        <v>0.3</v>
      </c>
      <c r="O47">
        <v>500</v>
      </c>
      <c r="P47" s="15">
        <f>O47*M47</f>
        <v>150</v>
      </c>
      <c r="R47" s="21" t="s">
        <v>64</v>
      </c>
      <c r="S47" s="18">
        <v>317</v>
      </c>
      <c r="T47" s="40">
        <v>0.7</v>
      </c>
      <c r="U47" s="25">
        <f>S47*T47</f>
        <v>221.89999999999998</v>
      </c>
      <c r="V47" s="18">
        <v>25</v>
      </c>
      <c r="W47" s="44"/>
      <c r="X47" s="44"/>
      <c r="Y47" s="44">
        <v>190</v>
      </c>
      <c r="Z47" s="18">
        <v>12</v>
      </c>
      <c r="AA47" s="69">
        <v>13</v>
      </c>
      <c r="AB47" s="69">
        <v>13</v>
      </c>
      <c r="AC47" s="69"/>
      <c r="AE47" s="25">
        <f>SUM(U47:AD48)</f>
        <v>563.4</v>
      </c>
      <c r="AF47" s="25">
        <f>ROUND(AE47*10%,0)</f>
        <v>56</v>
      </c>
      <c r="AG47" s="25">
        <v>0</v>
      </c>
      <c r="AH47" s="25">
        <v>0</v>
      </c>
      <c r="AI47" s="25">
        <v>0</v>
      </c>
      <c r="AJ47" s="25"/>
      <c r="AK47" s="26">
        <f>SUM(AE47:AI47)</f>
        <v>619.4</v>
      </c>
      <c r="AL47" s="32">
        <f>ROUND(M47*AK47,0)</f>
        <v>186</v>
      </c>
      <c r="AM47">
        <v>70</v>
      </c>
      <c r="AN47">
        <v>18</v>
      </c>
      <c r="AO47">
        <v>3</v>
      </c>
      <c r="AP47">
        <v>3</v>
      </c>
      <c r="AQ47">
        <v>0</v>
      </c>
      <c r="AR47">
        <v>0</v>
      </c>
      <c r="AS47">
        <v>0</v>
      </c>
      <c r="AT47">
        <v>50</v>
      </c>
      <c r="AW47">
        <v>2</v>
      </c>
      <c r="AX47">
        <v>0</v>
      </c>
      <c r="AY47">
        <v>0</v>
      </c>
      <c r="AZ47">
        <v>45</v>
      </c>
      <c r="BA47">
        <v>45</v>
      </c>
      <c r="BB47">
        <v>0</v>
      </c>
      <c r="BC47">
        <v>0</v>
      </c>
      <c r="BD47">
        <v>0</v>
      </c>
      <c r="BE47">
        <v>0</v>
      </c>
      <c r="BF47">
        <v>0</v>
      </c>
      <c r="BG47" s="53">
        <f>SUM(AL47:BF50)</f>
        <v>478</v>
      </c>
      <c r="BH47" s="41">
        <f>ROUND(BG47*3%,0)</f>
        <v>14</v>
      </c>
      <c r="BI47" s="53">
        <f>BG47+BH47</f>
        <v>492</v>
      </c>
      <c r="BJ47" s="72">
        <v>0.06</v>
      </c>
      <c r="BK47" s="53">
        <f>BI47*BJ47+BI47</f>
        <v>521.52</v>
      </c>
      <c r="BL47" s="53">
        <v>92</v>
      </c>
      <c r="BM47" s="42">
        <f>BK47/BL47</f>
        <v>5.6686956521739127</v>
      </c>
      <c r="BN47" s="42"/>
      <c r="BO47" s="59">
        <v>5.65</v>
      </c>
      <c r="BP47" s="59"/>
    </row>
    <row r="48" spans="1:68" ht="15" customHeight="1" x14ac:dyDescent="0.25">
      <c r="H48" s="43"/>
      <c r="P48" s="15"/>
      <c r="R48" s="21" t="s">
        <v>65</v>
      </c>
      <c r="S48" s="18">
        <v>295</v>
      </c>
      <c r="T48" s="40">
        <v>0.3</v>
      </c>
      <c r="U48" s="25">
        <f>S48*T48</f>
        <v>88.5</v>
      </c>
      <c r="W48" s="44"/>
      <c r="X48" s="44"/>
      <c r="Y48" s="44"/>
      <c r="AL48" s="32"/>
      <c r="BG48" s="53"/>
      <c r="BH48" s="41"/>
      <c r="BI48" s="53"/>
      <c r="BJ48" s="41"/>
      <c r="BK48" s="53"/>
      <c r="BL48" s="53"/>
      <c r="BM48" s="42"/>
      <c r="BN48" s="42"/>
      <c r="BO48" s="59"/>
      <c r="BP48" s="59"/>
    </row>
    <row r="49" spans="1:68" ht="18.75" customHeight="1" x14ac:dyDescent="0.25">
      <c r="B49" s="43" t="s">
        <v>38</v>
      </c>
      <c r="C49" s="43">
        <v>9414</v>
      </c>
      <c r="D49" t="s">
        <v>134</v>
      </c>
      <c r="E49" t="s">
        <v>135</v>
      </c>
      <c r="F49" t="s">
        <v>103</v>
      </c>
      <c r="G49" t="s">
        <v>17</v>
      </c>
      <c r="H49" s="43" t="s">
        <v>164</v>
      </c>
      <c r="J49" t="s">
        <v>126</v>
      </c>
      <c r="K49" t="s">
        <v>127</v>
      </c>
      <c r="L49">
        <v>370</v>
      </c>
      <c r="M49" s="2">
        <v>0.09</v>
      </c>
      <c r="O49">
        <v>500</v>
      </c>
      <c r="P49" s="15">
        <f>O49*M49</f>
        <v>45</v>
      </c>
      <c r="R49" s="21" t="s">
        <v>65</v>
      </c>
      <c r="S49" s="18">
        <v>295</v>
      </c>
      <c r="T49" s="40">
        <v>1</v>
      </c>
      <c r="U49" s="25">
        <f>S49*T49</f>
        <v>295</v>
      </c>
      <c r="V49" s="18">
        <v>75</v>
      </c>
      <c r="W49" s="44"/>
      <c r="X49" s="44"/>
      <c r="Y49" s="44">
        <v>190</v>
      </c>
      <c r="Z49" s="18">
        <v>0</v>
      </c>
      <c r="AA49" s="18">
        <v>10</v>
      </c>
      <c r="AE49" s="25">
        <f>SUM(U49:AD49)</f>
        <v>570</v>
      </c>
      <c r="AF49" s="25">
        <f>ROUND(AE49*10%,0)</f>
        <v>57</v>
      </c>
      <c r="AG49" s="25">
        <v>0</v>
      </c>
      <c r="AH49" s="25">
        <v>0</v>
      </c>
      <c r="AI49" s="25">
        <v>0</v>
      </c>
      <c r="AJ49" s="25"/>
      <c r="AK49" s="26">
        <f>SUM(AE49:AI49)</f>
        <v>627</v>
      </c>
      <c r="AL49" s="32">
        <f>ROUND(M49*AK49,0)</f>
        <v>56</v>
      </c>
      <c r="BG49" s="41"/>
      <c r="BH49" s="41"/>
      <c r="BI49" s="41"/>
      <c r="BJ49" s="41"/>
      <c r="BK49" s="41"/>
      <c r="BL49" s="41"/>
      <c r="BM49" s="42"/>
      <c r="BN49" s="42"/>
      <c r="BO49" s="59"/>
      <c r="BP49" s="59"/>
    </row>
    <row r="50" spans="1:68" ht="15" customHeight="1" x14ac:dyDescent="0.25">
      <c r="A50" s="13"/>
      <c r="B50" s="13"/>
      <c r="C50" s="13"/>
      <c r="D50" s="14"/>
      <c r="E50" s="14"/>
      <c r="F50" s="14"/>
      <c r="G50" s="13"/>
      <c r="H50" s="13"/>
      <c r="I50" s="13"/>
      <c r="L50" s="14"/>
      <c r="M50" s="14"/>
      <c r="N50" s="14"/>
      <c r="O50" s="14"/>
      <c r="P50" s="15"/>
      <c r="Q50" s="15"/>
      <c r="R50" s="24"/>
      <c r="S50" s="27"/>
      <c r="T50" s="27"/>
      <c r="U50" s="27"/>
      <c r="V50" s="27"/>
      <c r="W50" s="27"/>
      <c r="X50" s="27"/>
      <c r="Y50" s="27"/>
      <c r="Z50" s="27"/>
      <c r="AA50" s="27"/>
    </row>
    <row r="51" spans="1:68" x14ac:dyDescent="0.25">
      <c r="A51" s="43">
        <v>12</v>
      </c>
      <c r="B51" s="43" t="s">
        <v>38</v>
      </c>
      <c r="C51" s="43">
        <v>9414</v>
      </c>
      <c r="D51" t="s">
        <v>119</v>
      </c>
      <c r="E51" t="s">
        <v>120</v>
      </c>
      <c r="F51" t="s">
        <v>121</v>
      </c>
      <c r="G51" t="s">
        <v>40</v>
      </c>
      <c r="H51" t="s">
        <v>157</v>
      </c>
      <c r="I51" t="s">
        <v>39</v>
      </c>
      <c r="J51" t="s">
        <v>122</v>
      </c>
      <c r="K51" t="s">
        <v>123</v>
      </c>
      <c r="L51">
        <v>180</v>
      </c>
      <c r="M51">
        <v>0.16500000000000001</v>
      </c>
      <c r="O51">
        <v>500</v>
      </c>
      <c r="P51" s="15">
        <f>O51*M51</f>
        <v>82.5</v>
      </c>
      <c r="R51" s="21" t="s">
        <v>64</v>
      </c>
      <c r="S51" s="18">
        <v>333</v>
      </c>
      <c r="T51" s="40">
        <v>1</v>
      </c>
      <c r="U51" s="25">
        <f>S51*T51</f>
        <v>333</v>
      </c>
      <c r="V51" s="18">
        <v>65</v>
      </c>
      <c r="X51" s="27">
        <v>175</v>
      </c>
      <c r="Z51" s="18">
        <v>12</v>
      </c>
      <c r="AA51" s="27">
        <v>13</v>
      </c>
      <c r="AE51" s="25">
        <f>SUM(U51:AD51)</f>
        <v>598</v>
      </c>
      <c r="AF51" s="25">
        <f>ROUND(AE51*10%,0)</f>
        <v>60</v>
      </c>
      <c r="AG51" s="25">
        <v>0</v>
      </c>
      <c r="AH51" s="25">
        <v>0</v>
      </c>
      <c r="AI51" s="25">
        <v>0</v>
      </c>
      <c r="AJ51" s="25"/>
      <c r="AK51" s="26">
        <f>SUM(AE51:AI51)</f>
        <v>658</v>
      </c>
      <c r="AL51" s="32">
        <f>ROUND(M51*AK51,0)</f>
        <v>109</v>
      </c>
      <c r="AM51">
        <v>51</v>
      </c>
      <c r="AN51">
        <v>18</v>
      </c>
      <c r="AO51">
        <v>3</v>
      </c>
      <c r="AP51">
        <v>3</v>
      </c>
      <c r="AQ51">
        <v>0</v>
      </c>
      <c r="AR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30</v>
      </c>
      <c r="BA51">
        <v>0</v>
      </c>
      <c r="BB51">
        <v>0</v>
      </c>
      <c r="BC51">
        <v>0</v>
      </c>
      <c r="BD51">
        <v>2</v>
      </c>
      <c r="BE51">
        <v>0</v>
      </c>
      <c r="BF51">
        <v>0</v>
      </c>
      <c r="BG51" s="53">
        <f>SUM(AL51:BF51)</f>
        <v>217</v>
      </c>
      <c r="BH51" s="41">
        <f>ROUND(BG51*3%,0)</f>
        <v>7</v>
      </c>
      <c r="BI51" s="53">
        <f>BG51+BH51</f>
        <v>224</v>
      </c>
      <c r="BJ51" s="72">
        <v>0.08</v>
      </c>
      <c r="BK51" s="53">
        <f>BI51*BJ51+BI51</f>
        <v>241.92000000000002</v>
      </c>
      <c r="BL51" s="53">
        <v>92</v>
      </c>
      <c r="BM51" s="42">
        <f>BK51/BL51</f>
        <v>2.6295652173913044</v>
      </c>
      <c r="BN51" s="42"/>
      <c r="BO51" s="73">
        <v>2.65</v>
      </c>
    </row>
    <row r="53" spans="1:68" x14ac:dyDescent="0.25">
      <c r="A53" s="43">
        <v>13</v>
      </c>
      <c r="B53" s="43" t="s">
        <v>38</v>
      </c>
      <c r="C53" s="43">
        <v>9414</v>
      </c>
      <c r="D53" t="s">
        <v>144</v>
      </c>
      <c r="E53" t="s">
        <v>145</v>
      </c>
      <c r="F53" s="43" t="s">
        <v>138</v>
      </c>
      <c r="G53" t="s">
        <v>40</v>
      </c>
      <c r="H53" t="s">
        <v>157</v>
      </c>
      <c r="I53" t="s">
        <v>39</v>
      </c>
      <c r="J53" t="s">
        <v>139</v>
      </c>
      <c r="K53" t="s">
        <v>184</v>
      </c>
      <c r="L53">
        <v>300</v>
      </c>
      <c r="M53" s="2">
        <v>0.15</v>
      </c>
      <c r="O53">
        <v>500</v>
      </c>
      <c r="P53" s="15">
        <f>O53*M53</f>
        <v>75</v>
      </c>
      <c r="R53" s="21" t="s">
        <v>172</v>
      </c>
      <c r="S53" s="18">
        <v>0</v>
      </c>
      <c r="T53" s="40">
        <v>0</v>
      </c>
      <c r="U53" s="25">
        <v>0</v>
      </c>
      <c r="V53" s="18">
        <v>0</v>
      </c>
      <c r="W53" s="44"/>
      <c r="X53" s="44"/>
      <c r="Y53" s="44"/>
      <c r="AA53" s="69"/>
      <c r="AB53" s="69"/>
      <c r="AE53" s="25">
        <f>SUM(U53:AD53)</f>
        <v>0</v>
      </c>
      <c r="AF53" s="25">
        <f>ROUND(AE53*6%,0)</f>
        <v>0</v>
      </c>
      <c r="AG53" s="25">
        <v>0</v>
      </c>
      <c r="AH53" s="25">
        <v>0</v>
      </c>
      <c r="AI53" s="25">
        <v>0</v>
      </c>
      <c r="AJ53" s="25"/>
      <c r="AK53" s="26">
        <v>900</v>
      </c>
      <c r="AL53" s="32">
        <f>ROUND(M53*AK53,0)</f>
        <v>135</v>
      </c>
      <c r="AM53">
        <v>165</v>
      </c>
      <c r="AN53">
        <v>18</v>
      </c>
      <c r="AO53">
        <v>3</v>
      </c>
      <c r="AP53">
        <v>3</v>
      </c>
      <c r="AS53">
        <v>5</v>
      </c>
      <c r="BD53">
        <v>0</v>
      </c>
      <c r="BE53">
        <v>0</v>
      </c>
      <c r="BG53" s="53">
        <f>SUM(AL53:BF54)</f>
        <v>509</v>
      </c>
      <c r="BH53" s="41">
        <f>ROUND(BG53*0%,0)</f>
        <v>0</v>
      </c>
      <c r="BI53" s="53">
        <f>BG53+BH53</f>
        <v>509</v>
      </c>
      <c r="BJ53" s="72">
        <v>-0.09</v>
      </c>
      <c r="BK53" s="53">
        <f>BI53*BJ53+BI53</f>
        <v>463.19</v>
      </c>
      <c r="BL53" s="53">
        <v>92</v>
      </c>
      <c r="BM53" s="42">
        <f>BK53/BL53</f>
        <v>5.0346739130434779</v>
      </c>
      <c r="BN53" s="42"/>
      <c r="BO53" s="73">
        <v>5</v>
      </c>
    </row>
    <row r="54" spans="1:68" x14ac:dyDescent="0.25">
      <c r="B54" s="43" t="s">
        <v>38</v>
      </c>
      <c r="C54" s="43">
        <v>9414</v>
      </c>
      <c r="D54" t="s">
        <v>144</v>
      </c>
      <c r="E54" t="s">
        <v>145</v>
      </c>
      <c r="F54" t="s">
        <v>140</v>
      </c>
      <c r="G54" t="s">
        <v>163</v>
      </c>
      <c r="H54" t="s">
        <v>157</v>
      </c>
      <c r="I54" t="s">
        <v>39</v>
      </c>
      <c r="J54" t="s">
        <v>140</v>
      </c>
      <c r="K54" t="s">
        <v>142</v>
      </c>
      <c r="L54">
        <v>40</v>
      </c>
      <c r="N54" s="32">
        <v>1.8</v>
      </c>
      <c r="O54">
        <v>500</v>
      </c>
      <c r="Q54" s="32">
        <f>N54*O54</f>
        <v>900</v>
      </c>
      <c r="W54" s="44"/>
      <c r="X54" s="44"/>
      <c r="Y54" s="44"/>
      <c r="AK54" s="23">
        <v>100</v>
      </c>
      <c r="AL54" s="32">
        <f>ROUND(N54*AK54,0)</f>
        <v>180</v>
      </c>
      <c r="BH54" s="41"/>
      <c r="BI54" s="41"/>
      <c r="BJ54" s="41"/>
      <c r="BK54" s="41"/>
      <c r="BL54" s="41"/>
      <c r="BM54" s="42"/>
      <c r="BN54" s="42"/>
    </row>
    <row r="55" spans="1:68" x14ac:dyDescent="0.25">
      <c r="N55" s="32"/>
      <c r="Q55" s="32"/>
      <c r="W55" s="44"/>
      <c r="X55" s="44"/>
      <c r="Y55" s="44"/>
      <c r="AL55" s="32"/>
      <c r="BH55" s="41"/>
      <c r="BI55" s="41"/>
      <c r="BJ55" s="41"/>
      <c r="BK55" s="41"/>
      <c r="BL55" s="41"/>
      <c r="BM55" s="42"/>
      <c r="BN55" s="42"/>
    </row>
    <row r="56" spans="1:68" x14ac:dyDescent="0.25">
      <c r="A56" s="43">
        <v>13</v>
      </c>
      <c r="B56" s="43" t="s">
        <v>38</v>
      </c>
      <c r="C56" s="43">
        <v>9420</v>
      </c>
      <c r="D56" t="s">
        <v>173</v>
      </c>
      <c r="E56" t="s">
        <v>174</v>
      </c>
      <c r="F56" s="43" t="s">
        <v>175</v>
      </c>
      <c r="G56" t="s">
        <v>40</v>
      </c>
      <c r="H56" t="s">
        <v>157</v>
      </c>
      <c r="I56" t="s">
        <v>39</v>
      </c>
      <c r="J56" s="43" t="s">
        <v>175</v>
      </c>
      <c r="K56" t="s">
        <v>176</v>
      </c>
      <c r="L56">
        <v>240</v>
      </c>
      <c r="M56">
        <v>0.20499999999999999</v>
      </c>
      <c r="O56">
        <v>500</v>
      </c>
      <c r="P56" s="15">
        <f>O56*M56</f>
        <v>102.5</v>
      </c>
      <c r="R56" s="21" t="s">
        <v>172</v>
      </c>
      <c r="AK56" s="23">
        <v>900</v>
      </c>
      <c r="AL56" s="32">
        <f>ROUND(M56*AK56,0)</f>
        <v>185</v>
      </c>
      <c r="AM56">
        <v>80</v>
      </c>
      <c r="AN56">
        <v>18</v>
      </c>
      <c r="AO56">
        <v>3</v>
      </c>
      <c r="AP56">
        <v>3</v>
      </c>
      <c r="AS56">
        <v>10</v>
      </c>
      <c r="BA56">
        <v>10</v>
      </c>
      <c r="BG56" s="53">
        <f>SUM(AL56:BF58)</f>
        <v>380</v>
      </c>
      <c r="BH56" s="41">
        <f>ROUND(BG56*3%,0)</f>
        <v>11</v>
      </c>
      <c r="BI56" s="53">
        <f>BG56+BH56</f>
        <v>391</v>
      </c>
      <c r="BJ56" s="72">
        <v>0.06</v>
      </c>
      <c r="BK56" s="53">
        <f>BI56*BJ56+BI56</f>
        <v>414.46</v>
      </c>
      <c r="BL56" s="53">
        <v>92</v>
      </c>
      <c r="BM56" s="42">
        <f>BK56/BL56</f>
        <v>4.5049999999999999</v>
      </c>
      <c r="BO56" s="73">
        <v>4.5</v>
      </c>
    </row>
    <row r="57" spans="1:68" x14ac:dyDescent="0.25">
      <c r="B57" s="43" t="s">
        <v>38</v>
      </c>
      <c r="C57" s="43">
        <v>9420</v>
      </c>
      <c r="D57" t="s">
        <v>173</v>
      </c>
      <c r="E57" t="s">
        <v>174</v>
      </c>
      <c r="F57" s="43" t="s">
        <v>175</v>
      </c>
      <c r="G57" t="s">
        <v>153</v>
      </c>
      <c r="H57" t="s">
        <v>157</v>
      </c>
      <c r="I57" t="s">
        <v>39</v>
      </c>
      <c r="J57" t="s">
        <v>140</v>
      </c>
      <c r="K57" t="s">
        <v>142</v>
      </c>
      <c r="L57">
        <v>40</v>
      </c>
      <c r="N57">
        <v>1.3</v>
      </c>
      <c r="O57">
        <v>500</v>
      </c>
      <c r="Q57" s="32">
        <f>N57*O57</f>
        <v>650</v>
      </c>
      <c r="R57" s="21" t="s">
        <v>172</v>
      </c>
      <c r="AK57" s="23">
        <v>50</v>
      </c>
      <c r="AL57" s="32">
        <f>ROUND(N57*AK57,0)</f>
        <v>65</v>
      </c>
    </row>
    <row r="58" spans="1:68" x14ac:dyDescent="0.25">
      <c r="B58" s="43" t="s">
        <v>38</v>
      </c>
      <c r="C58" s="43">
        <v>9420</v>
      </c>
      <c r="D58" t="s">
        <v>173</v>
      </c>
      <c r="E58" t="s">
        <v>174</v>
      </c>
      <c r="F58" s="43" t="s">
        <v>180</v>
      </c>
      <c r="G58" s="43" t="s">
        <v>183</v>
      </c>
      <c r="H58" t="s">
        <v>157</v>
      </c>
      <c r="I58" t="s">
        <v>39</v>
      </c>
      <c r="J58" t="s">
        <v>18</v>
      </c>
      <c r="K58" t="s">
        <v>109</v>
      </c>
      <c r="L58">
        <v>160</v>
      </c>
      <c r="M58">
        <v>0.01</v>
      </c>
      <c r="O58">
        <v>500</v>
      </c>
      <c r="P58" s="15">
        <f>O58*M58</f>
        <v>5</v>
      </c>
      <c r="Q58" s="32"/>
      <c r="R58" s="21" t="s">
        <v>182</v>
      </c>
      <c r="S58" s="18">
        <v>346</v>
      </c>
      <c r="T58" s="40">
        <v>1</v>
      </c>
      <c r="U58" s="25">
        <f>S58*T58</f>
        <v>346</v>
      </c>
      <c r="V58" s="18">
        <v>13</v>
      </c>
      <c r="W58" s="27">
        <v>0</v>
      </c>
      <c r="X58" s="27">
        <v>175</v>
      </c>
      <c r="Z58" s="27">
        <v>12</v>
      </c>
      <c r="AA58" s="27">
        <v>13</v>
      </c>
      <c r="AE58" s="25">
        <f>SUM(U58:AD58)</f>
        <v>559</v>
      </c>
      <c r="AF58" s="25">
        <f>ROUND(AE58*10%,0)</f>
        <v>56</v>
      </c>
      <c r="AG58" s="25">
        <v>0</v>
      </c>
      <c r="AH58" s="25">
        <v>0</v>
      </c>
      <c r="AI58" s="25">
        <v>0</v>
      </c>
      <c r="AJ58" s="25"/>
      <c r="AK58" s="26">
        <f>SUM(AE58:AI58)</f>
        <v>615</v>
      </c>
      <c r="AL58" s="32">
        <f>ROUND(M58*AK58,0)</f>
        <v>6</v>
      </c>
      <c r="BG58" s="53"/>
      <c r="BH58" s="41"/>
      <c r="BI58" s="53"/>
      <c r="BJ58" s="41"/>
      <c r="BK58" s="53"/>
      <c r="BL58" s="53"/>
      <c r="BM58" s="42"/>
    </row>
    <row r="60" spans="1:68" x14ac:dyDescent="0.25">
      <c r="A60" s="43">
        <v>14</v>
      </c>
      <c r="B60" s="43" t="s">
        <v>38</v>
      </c>
      <c r="C60" s="43">
        <v>9420</v>
      </c>
      <c r="D60" t="s">
        <v>177</v>
      </c>
      <c r="E60" t="s">
        <v>178</v>
      </c>
      <c r="F60" t="s">
        <v>140</v>
      </c>
      <c r="G60" t="s">
        <v>40</v>
      </c>
      <c r="H60" t="s">
        <v>157</v>
      </c>
      <c r="I60" t="s">
        <v>179</v>
      </c>
      <c r="J60" t="s">
        <v>140</v>
      </c>
      <c r="K60" t="s">
        <v>142</v>
      </c>
      <c r="L60">
        <v>40</v>
      </c>
      <c r="N60">
        <v>1.2</v>
      </c>
      <c r="O60">
        <v>500</v>
      </c>
      <c r="Q60" s="32">
        <f>N60*O60</f>
        <v>600</v>
      </c>
      <c r="R60" s="21" t="s">
        <v>172</v>
      </c>
      <c r="AK60" s="23">
        <v>100</v>
      </c>
      <c r="AL60" s="32">
        <f>ROUND(N60*AK60,0)</f>
        <v>120</v>
      </c>
      <c r="AM60">
        <v>67</v>
      </c>
      <c r="AN60">
        <v>18</v>
      </c>
      <c r="AO60">
        <v>3</v>
      </c>
      <c r="AP60">
        <v>3</v>
      </c>
      <c r="AQ60">
        <v>9</v>
      </c>
      <c r="AS60">
        <v>10</v>
      </c>
      <c r="BD60">
        <v>22</v>
      </c>
      <c r="BG60" s="53">
        <f>SUM(AL60:BF61)</f>
        <v>301</v>
      </c>
      <c r="BH60" s="41">
        <f>ROUND(BG60*3%,0)</f>
        <v>9</v>
      </c>
      <c r="BI60" s="53">
        <f>BG60+BH60</f>
        <v>310</v>
      </c>
      <c r="BJ60" s="72">
        <v>0.11</v>
      </c>
      <c r="BK60" s="53">
        <f>BI60*BJ60+BI60</f>
        <v>344.1</v>
      </c>
      <c r="BL60" s="53">
        <v>92</v>
      </c>
      <c r="BM60" s="42">
        <f>BK60/BL60</f>
        <v>3.7402173913043479</v>
      </c>
      <c r="BO60" s="73">
        <v>3.75</v>
      </c>
    </row>
    <row r="61" spans="1:68" x14ac:dyDescent="0.25">
      <c r="B61" s="43" t="s">
        <v>38</v>
      </c>
      <c r="C61" s="43">
        <v>9420</v>
      </c>
      <c r="D61" t="s">
        <v>177</v>
      </c>
      <c r="E61" t="s">
        <v>178</v>
      </c>
      <c r="F61" t="s">
        <v>180</v>
      </c>
      <c r="G61" t="s">
        <v>181</v>
      </c>
      <c r="H61" t="s">
        <v>157</v>
      </c>
      <c r="I61" t="s">
        <v>39</v>
      </c>
      <c r="J61" t="s">
        <v>18</v>
      </c>
      <c r="K61" t="s">
        <v>109</v>
      </c>
      <c r="L61">
        <v>160</v>
      </c>
      <c r="M61">
        <v>0.08</v>
      </c>
      <c r="O61">
        <v>500</v>
      </c>
      <c r="P61" s="15">
        <f>O61*M61</f>
        <v>40</v>
      </c>
      <c r="R61" s="21" t="s">
        <v>182</v>
      </c>
      <c r="S61" s="18">
        <v>346</v>
      </c>
      <c r="T61" s="40">
        <v>1</v>
      </c>
      <c r="U61" s="25">
        <f>S61*T61</f>
        <v>346</v>
      </c>
      <c r="V61" s="18">
        <v>13</v>
      </c>
      <c r="W61" s="27">
        <v>0</v>
      </c>
      <c r="X61" s="27">
        <v>175</v>
      </c>
      <c r="Z61" s="27">
        <v>12</v>
      </c>
      <c r="AA61" s="27">
        <v>13</v>
      </c>
      <c r="AE61" s="25">
        <f>SUM(U61:AD61)</f>
        <v>559</v>
      </c>
      <c r="AF61" s="25">
        <f>ROUND(AE61*10%,0)</f>
        <v>56</v>
      </c>
      <c r="AG61" s="25">
        <v>0</v>
      </c>
      <c r="AH61" s="25">
        <v>0</v>
      </c>
      <c r="AI61" s="25">
        <v>0</v>
      </c>
      <c r="AJ61" s="25"/>
      <c r="AK61" s="26">
        <f>SUM(AE61:AI61)</f>
        <v>615</v>
      </c>
      <c r="AL61" s="32">
        <f>ROUND(M61*AK61,0)</f>
        <v>49</v>
      </c>
    </row>
  </sheetData>
  <autoFilter ref="B2:P51"/>
  <mergeCells count="8">
    <mergeCell ref="BP1:BP2"/>
    <mergeCell ref="BQ1:BQ2"/>
    <mergeCell ref="T1:T2"/>
    <mergeCell ref="U1:U2"/>
    <mergeCell ref="AQ1:AR1"/>
    <mergeCell ref="BL1:BL2"/>
    <mergeCell ref="BM1:BM2"/>
    <mergeCell ref="BO1:BO2"/>
  </mergeCells>
  <pageMargins left="0" right="0" top="0" bottom="0" header="0.31496062992125984" footer="0.31496062992125984"/>
  <pageSetup paperSize="8" scale="80" orientation="landscape" r:id="rId1"/>
  <colBreaks count="1" manualBreakCount="1">
    <brk id="37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7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5" sqref="J15"/>
    </sheetView>
  </sheetViews>
  <sheetFormatPr defaultRowHeight="15" x14ac:dyDescent="0.25"/>
  <cols>
    <col min="1" max="1" width="5.7109375" style="43" bestFit="1" customWidth="1"/>
    <col min="2" max="2" width="7.42578125" style="43" customWidth="1"/>
    <col min="3" max="3" width="8.140625" style="43" customWidth="1"/>
    <col min="4" max="4" width="13.28515625" customWidth="1"/>
    <col min="5" max="5" width="18.28515625" customWidth="1"/>
    <col min="6" max="6" width="15.28515625" bestFit="1" customWidth="1"/>
    <col min="7" max="7" width="13.42578125" bestFit="1" customWidth="1"/>
    <col min="8" max="8" width="14" customWidth="1"/>
    <col min="9" max="9" width="8.42578125" customWidth="1"/>
    <col min="10" max="10" width="24.85546875" style="80" customWidth="1"/>
    <col min="11" max="11" width="23.85546875" bestFit="1" customWidth="1"/>
    <col min="12" max="12" width="5" bestFit="1" customWidth="1"/>
    <col min="13" max="13" width="8.42578125" bestFit="1" customWidth="1"/>
    <col min="14" max="14" width="8.42578125" customWidth="1"/>
    <col min="15" max="15" width="6.42578125" bestFit="1" customWidth="1"/>
    <col min="16" max="16" width="9.5703125" bestFit="1" customWidth="1"/>
    <col min="17" max="17" width="8.28515625" customWidth="1"/>
    <col min="18" max="18" width="6.28515625" style="21" customWidth="1"/>
    <col min="19" max="19" width="7.42578125" style="18" customWidth="1"/>
    <col min="20" max="21" width="6.5703125" style="18" customWidth="1"/>
    <col min="22" max="22" width="4.28515625" style="18" customWidth="1"/>
    <col min="23" max="23" width="4.5703125" style="18" customWidth="1"/>
    <col min="24" max="25" width="6.5703125" style="18" customWidth="1"/>
    <col min="26" max="27" width="5.7109375" style="18" customWidth="1"/>
    <col min="28" max="28" width="4.5703125" style="18" customWidth="1"/>
    <col min="29" max="29" width="5.28515625" style="18" customWidth="1"/>
    <col min="30" max="30" width="9.28515625" style="18" customWidth="1"/>
    <col min="31" max="31" width="8.85546875" style="18" customWidth="1"/>
    <col min="32" max="32" width="8" style="18" customWidth="1"/>
    <col min="33" max="33" width="6.5703125" style="18" customWidth="1"/>
    <col min="34" max="36" width="9.140625" style="18" customWidth="1"/>
    <col min="37" max="37" width="12" style="23" bestFit="1" customWidth="1"/>
    <col min="38" max="38" width="14.28515625" bestFit="1" customWidth="1"/>
    <col min="39" max="39" width="5.28515625" bestFit="1" customWidth="1"/>
    <col min="40" max="40" width="4.5703125" bestFit="1" customWidth="1"/>
    <col min="41" max="41" width="5" bestFit="1" customWidth="1"/>
    <col min="42" max="42" width="4.42578125" bestFit="1" customWidth="1"/>
    <col min="43" max="43" width="4.5703125" bestFit="1" customWidth="1"/>
    <col min="44" max="44" width="5.42578125" bestFit="1" customWidth="1"/>
    <col min="45" max="45" width="6.42578125" bestFit="1" customWidth="1"/>
    <col min="46" max="46" width="3.7109375" bestFit="1" customWidth="1"/>
    <col min="47" max="47" width="5.140625" bestFit="1" customWidth="1"/>
    <col min="48" max="48" width="6.42578125" customWidth="1"/>
    <col min="49" max="49" width="6.5703125" customWidth="1"/>
    <col min="50" max="50" width="8" bestFit="1" customWidth="1"/>
    <col min="51" max="51" width="8" hidden="1" customWidth="1"/>
    <col min="52" max="53" width="6.5703125" bestFit="1" customWidth="1"/>
    <col min="54" max="54" width="6.5703125" hidden="1" customWidth="1"/>
    <col min="55" max="55" width="6.5703125" bestFit="1" customWidth="1"/>
    <col min="56" max="56" width="7.85546875" bestFit="1" customWidth="1"/>
    <col min="57" max="57" width="7.85546875" customWidth="1"/>
    <col min="58" max="58" width="0" hidden="1" customWidth="1"/>
    <col min="59" max="59" width="7.85546875" customWidth="1"/>
    <col min="60" max="60" width="8.140625" bestFit="1" customWidth="1"/>
    <col min="61" max="61" width="8.42578125" customWidth="1"/>
    <col min="62" max="62" width="5.5703125" bestFit="1" customWidth="1"/>
    <col min="64" max="64" width="6.85546875" customWidth="1"/>
  </cols>
  <sheetData>
    <row r="1" spans="1:69" x14ac:dyDescent="0.25">
      <c r="A1" s="115"/>
      <c r="B1" s="82"/>
      <c r="C1" s="82"/>
      <c r="D1" s="83"/>
      <c r="E1" s="83"/>
      <c r="F1" s="83" t="s">
        <v>4</v>
      </c>
      <c r="G1" s="83"/>
      <c r="H1" s="83"/>
      <c r="I1" s="83"/>
      <c r="J1" s="84"/>
      <c r="K1" s="83"/>
      <c r="L1" s="83"/>
      <c r="M1" s="83"/>
      <c r="N1" s="83" t="s">
        <v>27</v>
      </c>
      <c r="O1" s="83" t="s">
        <v>26</v>
      </c>
      <c r="P1" s="83" t="s">
        <v>30</v>
      </c>
      <c r="Q1" s="83" t="s">
        <v>31</v>
      </c>
      <c r="R1" s="155" t="s">
        <v>41</v>
      </c>
      <c r="S1" s="156">
        <v>46143</v>
      </c>
      <c r="T1" s="177" t="s">
        <v>84</v>
      </c>
      <c r="U1" s="177" t="s">
        <v>86</v>
      </c>
      <c r="V1" s="83" t="s">
        <v>0</v>
      </c>
      <c r="W1" s="157" t="s">
        <v>1</v>
      </c>
      <c r="X1" s="157" t="s">
        <v>87</v>
      </c>
      <c r="Y1" s="158" t="s">
        <v>88</v>
      </c>
      <c r="Z1" s="157" t="s">
        <v>2</v>
      </c>
      <c r="AA1" s="157" t="s">
        <v>3</v>
      </c>
      <c r="AB1" s="157" t="s">
        <v>43</v>
      </c>
      <c r="AC1" s="158" t="s">
        <v>66</v>
      </c>
      <c r="AD1" s="157" t="s">
        <v>44</v>
      </c>
      <c r="AE1" s="157" t="s">
        <v>45</v>
      </c>
      <c r="AF1" s="157" t="s">
        <v>46</v>
      </c>
      <c r="AG1" s="158" t="s">
        <v>67</v>
      </c>
      <c r="AH1" s="158" t="s">
        <v>68</v>
      </c>
      <c r="AI1" s="158" t="s">
        <v>3</v>
      </c>
      <c r="AJ1" s="158" t="s">
        <v>69</v>
      </c>
      <c r="AK1" s="159" t="s">
        <v>47</v>
      </c>
      <c r="AL1" s="158" t="s">
        <v>50</v>
      </c>
      <c r="AM1" s="158" t="s">
        <v>51</v>
      </c>
      <c r="AN1" s="158" t="s">
        <v>52</v>
      </c>
      <c r="AO1" s="158" t="s">
        <v>53</v>
      </c>
      <c r="AP1" s="158" t="s">
        <v>54</v>
      </c>
      <c r="AQ1" s="178" t="s">
        <v>114</v>
      </c>
      <c r="AR1" s="178"/>
      <c r="AS1" s="158" t="s">
        <v>55</v>
      </c>
      <c r="AT1" s="158" t="s">
        <v>106</v>
      </c>
      <c r="AU1" s="158" t="s">
        <v>92</v>
      </c>
      <c r="AV1" s="185" t="s">
        <v>93</v>
      </c>
      <c r="AW1" s="183" t="s">
        <v>56</v>
      </c>
      <c r="AX1" s="158" t="s">
        <v>57</v>
      </c>
      <c r="AY1" s="158" t="s">
        <v>58</v>
      </c>
      <c r="AZ1" s="158" t="s">
        <v>72</v>
      </c>
      <c r="BA1" s="158" t="s">
        <v>73</v>
      </c>
      <c r="BB1" s="158" t="s">
        <v>74</v>
      </c>
      <c r="BC1" s="158" t="s">
        <v>115</v>
      </c>
      <c r="BD1" s="158" t="s">
        <v>59</v>
      </c>
      <c r="BE1" s="158" t="s">
        <v>59</v>
      </c>
      <c r="BF1" s="158" t="s">
        <v>78</v>
      </c>
      <c r="BG1" s="83" t="s">
        <v>77</v>
      </c>
      <c r="BH1" s="83" t="s">
        <v>60</v>
      </c>
      <c r="BI1" s="83" t="s">
        <v>75</v>
      </c>
      <c r="BJ1" s="83"/>
      <c r="BK1" s="83" t="s">
        <v>61</v>
      </c>
      <c r="BL1" s="179" t="s">
        <v>185</v>
      </c>
      <c r="BM1" s="181" t="s">
        <v>63</v>
      </c>
      <c r="BN1" s="75" t="s">
        <v>158</v>
      </c>
      <c r="BO1" s="172" t="s">
        <v>155</v>
      </c>
      <c r="BP1" s="172" t="s">
        <v>160</v>
      </c>
      <c r="BQ1" s="172" t="s">
        <v>156</v>
      </c>
    </row>
    <row r="2" spans="1:69" x14ac:dyDescent="0.25">
      <c r="A2" s="123" t="s">
        <v>20</v>
      </c>
      <c r="B2" s="44" t="s">
        <v>11</v>
      </c>
      <c r="C2" s="44" t="s">
        <v>19</v>
      </c>
      <c r="D2" s="18" t="s">
        <v>10</v>
      </c>
      <c r="E2" s="18" t="s">
        <v>12</v>
      </c>
      <c r="F2" s="18" t="s">
        <v>5</v>
      </c>
      <c r="G2" s="18" t="s">
        <v>13</v>
      </c>
      <c r="H2" s="18" t="s">
        <v>6</v>
      </c>
      <c r="I2" s="18" t="s">
        <v>14</v>
      </c>
      <c r="J2" s="97" t="s">
        <v>7</v>
      </c>
      <c r="K2" s="18" t="s">
        <v>9</v>
      </c>
      <c r="L2" s="18" t="s">
        <v>8</v>
      </c>
      <c r="M2" s="18" t="s">
        <v>28</v>
      </c>
      <c r="N2" s="18" t="s">
        <v>29</v>
      </c>
      <c r="O2" s="18" t="s">
        <v>15</v>
      </c>
      <c r="P2" s="18" t="s">
        <v>16</v>
      </c>
      <c r="Q2" s="18" t="s">
        <v>32</v>
      </c>
      <c r="R2" s="21" t="s">
        <v>42</v>
      </c>
      <c r="S2" s="18" t="s">
        <v>85</v>
      </c>
      <c r="T2" s="173"/>
      <c r="U2" s="173"/>
      <c r="W2" s="44"/>
      <c r="X2" s="44"/>
      <c r="Y2" s="44"/>
      <c r="AJ2" s="18" t="s">
        <v>70</v>
      </c>
      <c r="AK2" s="23" t="s">
        <v>48</v>
      </c>
      <c r="AL2" s="29" t="s">
        <v>49</v>
      </c>
      <c r="AM2" s="18"/>
      <c r="AN2" s="18"/>
      <c r="AO2" s="18"/>
      <c r="AP2" s="18"/>
      <c r="AQ2" s="18"/>
      <c r="AR2" s="18"/>
      <c r="AS2" s="18" t="s">
        <v>71</v>
      </c>
      <c r="AT2" s="18"/>
      <c r="AU2" s="18"/>
      <c r="AV2" s="186"/>
      <c r="AW2" s="184"/>
      <c r="AX2" s="18"/>
      <c r="AY2" s="18"/>
      <c r="AZ2" s="18"/>
      <c r="BA2" s="18"/>
      <c r="BB2" s="18"/>
      <c r="BC2" s="18"/>
      <c r="BD2" s="18" t="s">
        <v>90</v>
      </c>
      <c r="BE2" s="18" t="s">
        <v>91</v>
      </c>
      <c r="BF2" s="18" t="s">
        <v>79</v>
      </c>
      <c r="BG2" s="18" t="s">
        <v>76</v>
      </c>
      <c r="BH2" s="160">
        <v>0.03</v>
      </c>
      <c r="BI2" s="18" t="s">
        <v>76</v>
      </c>
      <c r="BJ2" s="160" t="s">
        <v>161</v>
      </c>
      <c r="BK2" s="18" t="s">
        <v>62</v>
      </c>
      <c r="BL2" s="180"/>
      <c r="BM2" s="182"/>
      <c r="BN2" s="75" t="s">
        <v>159</v>
      </c>
      <c r="BO2" s="172"/>
      <c r="BP2" s="172"/>
      <c r="BQ2" s="172"/>
    </row>
    <row r="3" spans="1:69" x14ac:dyDescent="0.25">
      <c r="A3" s="123"/>
      <c r="B3" s="44"/>
      <c r="C3" s="44"/>
      <c r="D3" s="18"/>
      <c r="E3" s="18"/>
      <c r="F3" s="18"/>
      <c r="G3" s="18"/>
      <c r="H3" s="18"/>
      <c r="I3" s="18"/>
      <c r="J3" s="97"/>
      <c r="K3" s="18"/>
      <c r="L3" s="18"/>
      <c r="M3" s="18"/>
      <c r="N3" s="18"/>
      <c r="O3" s="18"/>
      <c r="P3" s="18"/>
      <c r="Q3" s="18"/>
      <c r="T3" s="77"/>
      <c r="U3" s="77"/>
      <c r="W3" s="44"/>
      <c r="X3" s="44"/>
      <c r="Y3" s="44"/>
      <c r="AL3" s="29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60"/>
      <c r="BI3" s="18"/>
      <c r="BJ3" s="160"/>
      <c r="BK3" s="18"/>
      <c r="BL3" s="18"/>
      <c r="BM3" s="161"/>
      <c r="BN3" s="75"/>
    </row>
    <row r="4" spans="1:69" x14ac:dyDescent="0.25">
      <c r="A4" s="81">
        <v>1</v>
      </c>
      <c r="B4" s="82" t="s">
        <v>38</v>
      </c>
      <c r="C4" s="82">
        <v>9414</v>
      </c>
      <c r="D4" s="83" t="s">
        <v>107</v>
      </c>
      <c r="E4" s="83" t="s">
        <v>108</v>
      </c>
      <c r="F4" s="83" t="s">
        <v>80</v>
      </c>
      <c r="G4" s="83" t="s">
        <v>40</v>
      </c>
      <c r="H4" s="187" t="s">
        <v>203</v>
      </c>
      <c r="I4" s="83" t="s">
        <v>110</v>
      </c>
      <c r="J4" s="84" t="s">
        <v>82</v>
      </c>
      <c r="K4" s="83" t="s">
        <v>109</v>
      </c>
      <c r="L4" s="83">
        <v>280</v>
      </c>
      <c r="M4" s="85">
        <v>0.27</v>
      </c>
      <c r="N4" s="83"/>
      <c r="O4" s="83">
        <v>500</v>
      </c>
      <c r="P4" s="86">
        <f>O4*M4</f>
        <v>135</v>
      </c>
      <c r="Q4" s="83"/>
      <c r="R4" s="87" t="s">
        <v>64</v>
      </c>
      <c r="S4" s="83">
        <v>333</v>
      </c>
      <c r="T4" s="88">
        <v>0.7</v>
      </c>
      <c r="U4" s="89">
        <f>S4*T4</f>
        <v>233.1</v>
      </c>
      <c r="V4" s="83">
        <v>25</v>
      </c>
      <c r="W4" s="82"/>
      <c r="X4" s="82">
        <v>55</v>
      </c>
      <c r="Y4" s="82"/>
      <c r="Z4" s="83">
        <v>12</v>
      </c>
      <c r="AA4" s="90">
        <v>13</v>
      </c>
      <c r="AB4" s="90">
        <v>13</v>
      </c>
      <c r="AC4" s="83"/>
      <c r="AD4" s="83"/>
      <c r="AE4" s="89">
        <f>SUM(U4:AD5)</f>
        <v>442.6</v>
      </c>
      <c r="AF4" s="89">
        <f>ROUND(AE4*10%,0)</f>
        <v>44</v>
      </c>
      <c r="AG4" s="89">
        <v>0</v>
      </c>
      <c r="AH4" s="89">
        <v>0</v>
      </c>
      <c r="AI4" s="89">
        <v>0</v>
      </c>
      <c r="AJ4" s="89"/>
      <c r="AK4" s="91">
        <f>SUM(AE4:AI4)</f>
        <v>486.6</v>
      </c>
      <c r="AL4" s="89">
        <f>ROUND(M4*AK4,0)</f>
        <v>131</v>
      </c>
      <c r="AM4" s="83">
        <v>76</v>
      </c>
      <c r="AN4" s="83">
        <v>18</v>
      </c>
      <c r="AO4" s="83">
        <v>3</v>
      </c>
      <c r="AP4" s="83">
        <v>3</v>
      </c>
      <c r="AQ4" s="83">
        <v>1</v>
      </c>
      <c r="AR4" s="83"/>
      <c r="AS4" s="83">
        <v>3</v>
      </c>
      <c r="AT4" s="83"/>
      <c r="AU4" s="83">
        <v>6</v>
      </c>
      <c r="AV4" s="83">
        <v>4</v>
      </c>
      <c r="AW4" s="83"/>
      <c r="AX4" s="83">
        <v>0</v>
      </c>
      <c r="AY4" s="83">
        <v>0</v>
      </c>
      <c r="AZ4" s="83">
        <v>0</v>
      </c>
      <c r="BA4" s="83">
        <v>0</v>
      </c>
      <c r="BB4" s="83">
        <v>0</v>
      </c>
      <c r="BC4" s="83">
        <v>102</v>
      </c>
      <c r="BD4" s="83">
        <v>4</v>
      </c>
      <c r="BE4" s="83">
        <v>8</v>
      </c>
      <c r="BF4" s="83"/>
      <c r="BG4" s="92">
        <f>SUM(AL4:BF6)</f>
        <v>398</v>
      </c>
      <c r="BH4" s="93">
        <v>0.03</v>
      </c>
      <c r="BI4" s="92">
        <f>BG4*BH4+BG4</f>
        <v>409.94</v>
      </c>
      <c r="BJ4" s="94">
        <v>0.05</v>
      </c>
      <c r="BK4" s="92">
        <f>BI4*BJ4+BI4</f>
        <v>430.43700000000001</v>
      </c>
      <c r="BL4" s="92">
        <v>92</v>
      </c>
      <c r="BM4" s="95">
        <f>BK4/BL4</f>
        <v>4.6786630434782612</v>
      </c>
      <c r="BN4" s="42">
        <f>AVERAGE(BM4:BM48)</f>
        <v>4.5981673163082437</v>
      </c>
      <c r="BO4" s="73">
        <v>4.6500000000000004</v>
      </c>
      <c r="BP4" s="42">
        <f>AVERAGE(BO4:BO48)</f>
        <v>4.5909090909090908</v>
      </c>
    </row>
    <row r="5" spans="1:69" x14ac:dyDescent="0.25">
      <c r="A5" s="96"/>
      <c r="B5" s="44"/>
      <c r="C5" s="44"/>
      <c r="D5" s="18"/>
      <c r="E5" s="18"/>
      <c r="F5" s="18"/>
      <c r="G5" s="18"/>
      <c r="H5" s="188"/>
      <c r="I5" s="18"/>
      <c r="J5" s="97"/>
      <c r="K5" s="18"/>
      <c r="L5" s="18"/>
      <c r="M5" s="18"/>
      <c r="N5" s="18"/>
      <c r="O5" s="18"/>
      <c r="P5" s="18"/>
      <c r="Q5" s="98"/>
      <c r="R5" s="21" t="s">
        <v>65</v>
      </c>
      <c r="S5" s="18">
        <v>305</v>
      </c>
      <c r="T5" s="40">
        <v>0.3</v>
      </c>
      <c r="U5" s="25">
        <f>S5*T5</f>
        <v>91.5</v>
      </c>
      <c r="W5" s="44"/>
      <c r="X5" s="44"/>
      <c r="Y5" s="44"/>
      <c r="AA5" s="78"/>
      <c r="AB5" s="78"/>
      <c r="AE5" s="25"/>
      <c r="AF5" s="25"/>
      <c r="AG5" s="25"/>
      <c r="AH5" s="25"/>
      <c r="AI5" s="25"/>
      <c r="AJ5" s="25"/>
      <c r="AK5" s="26"/>
      <c r="AL5" s="25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99"/>
      <c r="BH5" s="100"/>
      <c r="BI5" s="99"/>
      <c r="BJ5" s="100"/>
      <c r="BK5" s="100"/>
      <c r="BL5" s="100"/>
      <c r="BM5" s="101"/>
      <c r="BN5" s="42"/>
    </row>
    <row r="6" spans="1:69" x14ac:dyDescent="0.25">
      <c r="A6" s="102"/>
      <c r="B6" s="103" t="s">
        <v>38</v>
      </c>
      <c r="C6" s="103">
        <v>9414</v>
      </c>
      <c r="D6" s="104" t="s">
        <v>107</v>
      </c>
      <c r="E6" s="104" t="s">
        <v>108</v>
      </c>
      <c r="F6" s="104" t="s">
        <v>112</v>
      </c>
      <c r="G6" s="104" t="s">
        <v>17</v>
      </c>
      <c r="H6" s="189"/>
      <c r="I6" s="104" t="s">
        <v>110</v>
      </c>
      <c r="J6" s="105" t="s">
        <v>82</v>
      </c>
      <c r="K6" s="104" t="s">
        <v>113</v>
      </c>
      <c r="L6" s="104">
        <v>370</v>
      </c>
      <c r="M6" s="106">
        <v>0.08</v>
      </c>
      <c r="N6" s="104"/>
      <c r="O6" s="104">
        <v>500</v>
      </c>
      <c r="P6" s="107">
        <f>O6*M6</f>
        <v>40</v>
      </c>
      <c r="Q6" s="104"/>
      <c r="R6" s="108" t="s">
        <v>65</v>
      </c>
      <c r="S6" s="104">
        <v>305</v>
      </c>
      <c r="T6" s="109">
        <v>1</v>
      </c>
      <c r="U6" s="110">
        <f>S6*T6</f>
        <v>305</v>
      </c>
      <c r="V6" s="104">
        <v>70</v>
      </c>
      <c r="W6" s="103"/>
      <c r="X6" s="103">
        <v>55</v>
      </c>
      <c r="Y6" s="103"/>
      <c r="Z6" s="104">
        <v>10</v>
      </c>
      <c r="AA6" s="104"/>
      <c r="AB6" s="104"/>
      <c r="AC6" s="104"/>
      <c r="AD6" s="104"/>
      <c r="AE6" s="110">
        <f>SUM(U6:AD6)</f>
        <v>440</v>
      </c>
      <c r="AF6" s="110">
        <f>ROUND(AE6*10%,0)</f>
        <v>44</v>
      </c>
      <c r="AG6" s="110">
        <v>0</v>
      </c>
      <c r="AH6" s="110">
        <v>0</v>
      </c>
      <c r="AI6" s="110">
        <v>0</v>
      </c>
      <c r="AJ6" s="104"/>
      <c r="AK6" s="111">
        <f>SUM(AE6:AI6)</f>
        <v>484</v>
      </c>
      <c r="AL6" s="110">
        <f>ROUND(M6*AK6,0)</f>
        <v>39</v>
      </c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79"/>
      <c r="BH6" s="79"/>
      <c r="BI6" s="112"/>
      <c r="BJ6" s="79"/>
      <c r="BK6" s="79"/>
      <c r="BL6" s="79"/>
      <c r="BM6" s="113"/>
      <c r="BN6" s="45"/>
    </row>
    <row r="7" spans="1:69" ht="15" customHeight="1" x14ac:dyDescent="0.25">
      <c r="A7" s="162"/>
      <c r="B7" s="44"/>
      <c r="C7" s="44"/>
      <c r="D7" s="18"/>
      <c r="E7" s="18"/>
      <c r="F7" s="18"/>
      <c r="G7" s="18"/>
      <c r="H7" s="18"/>
      <c r="I7" s="18"/>
      <c r="J7" s="97"/>
      <c r="K7" s="18"/>
      <c r="L7" s="18"/>
      <c r="M7" s="134"/>
      <c r="N7" s="18"/>
      <c r="O7" s="18"/>
      <c r="P7" s="98"/>
      <c r="Q7" s="18"/>
      <c r="T7" s="40"/>
      <c r="U7" s="25"/>
      <c r="W7" s="44"/>
      <c r="X7" s="44"/>
      <c r="Y7" s="44"/>
      <c r="AE7" s="25"/>
      <c r="AF7" s="25"/>
      <c r="AG7" s="25"/>
      <c r="AH7" s="25"/>
      <c r="AI7" s="25"/>
      <c r="AK7" s="26"/>
      <c r="AL7" s="25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41"/>
      <c r="BH7" s="141"/>
      <c r="BI7" s="163"/>
      <c r="BJ7" s="141"/>
      <c r="BK7" s="141"/>
      <c r="BL7" s="141"/>
      <c r="BM7" s="164"/>
      <c r="BN7" s="45"/>
    </row>
    <row r="8" spans="1:69" ht="15" customHeight="1" x14ac:dyDescent="0.25">
      <c r="A8" s="81">
        <v>2</v>
      </c>
      <c r="B8" s="82" t="s">
        <v>38</v>
      </c>
      <c r="C8" s="82">
        <v>9414</v>
      </c>
      <c r="D8" s="83" t="s">
        <v>116</v>
      </c>
      <c r="E8" s="83" t="s">
        <v>117</v>
      </c>
      <c r="F8" s="83" t="s">
        <v>80</v>
      </c>
      <c r="G8" s="83" t="s">
        <v>40</v>
      </c>
      <c r="H8" s="187" t="s">
        <v>81</v>
      </c>
      <c r="I8" s="83" t="s">
        <v>110</v>
      </c>
      <c r="J8" s="84" t="s">
        <v>82</v>
      </c>
      <c r="K8" s="83" t="s">
        <v>109</v>
      </c>
      <c r="L8" s="83">
        <v>280</v>
      </c>
      <c r="M8" s="85">
        <v>0.27</v>
      </c>
      <c r="N8" s="83"/>
      <c r="O8" s="83">
        <v>500</v>
      </c>
      <c r="P8" s="86">
        <f>O8*M8</f>
        <v>135</v>
      </c>
      <c r="Q8" s="83"/>
      <c r="R8" s="87" t="s">
        <v>64</v>
      </c>
      <c r="S8" s="83">
        <v>333</v>
      </c>
      <c r="T8" s="88">
        <v>0.7</v>
      </c>
      <c r="U8" s="89">
        <f>S8*T8</f>
        <v>233.1</v>
      </c>
      <c r="V8" s="83">
        <v>25</v>
      </c>
      <c r="W8" s="82"/>
      <c r="X8" s="82">
        <v>55</v>
      </c>
      <c r="Y8" s="82"/>
      <c r="Z8" s="83">
        <v>12</v>
      </c>
      <c r="AA8" s="90">
        <v>13</v>
      </c>
      <c r="AB8" s="90">
        <v>13</v>
      </c>
      <c r="AC8" s="83"/>
      <c r="AD8" s="83"/>
      <c r="AE8" s="89">
        <f>SUM(U8:AD9)</f>
        <v>442.6</v>
      </c>
      <c r="AF8" s="89">
        <f>ROUND(AE8*10%,0)</f>
        <v>44</v>
      </c>
      <c r="AG8" s="89">
        <v>0</v>
      </c>
      <c r="AH8" s="89">
        <v>0</v>
      </c>
      <c r="AI8" s="89">
        <v>0</v>
      </c>
      <c r="AJ8" s="89"/>
      <c r="AK8" s="91">
        <f>SUM(AE8:AI8)</f>
        <v>486.6</v>
      </c>
      <c r="AL8" s="89">
        <f>ROUND(M8*AK8,0)</f>
        <v>131</v>
      </c>
      <c r="AM8" s="83">
        <v>62</v>
      </c>
      <c r="AN8" s="83">
        <v>18</v>
      </c>
      <c r="AO8" s="83">
        <v>3</v>
      </c>
      <c r="AP8" s="83">
        <v>3</v>
      </c>
      <c r="AQ8" s="83">
        <v>1</v>
      </c>
      <c r="AR8" s="83"/>
      <c r="AS8" s="83">
        <v>3</v>
      </c>
      <c r="AT8" s="83"/>
      <c r="AU8" s="83">
        <v>0</v>
      </c>
      <c r="AV8" s="83">
        <v>0</v>
      </c>
      <c r="AW8" s="83"/>
      <c r="AX8" s="83">
        <v>30</v>
      </c>
      <c r="AY8" s="83">
        <v>0</v>
      </c>
      <c r="AZ8" s="83">
        <v>0</v>
      </c>
      <c r="BA8" s="83">
        <v>0</v>
      </c>
      <c r="BB8" s="83">
        <v>0</v>
      </c>
      <c r="BC8" s="83">
        <v>104</v>
      </c>
      <c r="BD8" s="83">
        <v>0</v>
      </c>
      <c r="BE8" s="83">
        <v>0</v>
      </c>
      <c r="BF8" s="83"/>
      <c r="BG8" s="92">
        <f>SUM(AL8:BF10)</f>
        <v>399</v>
      </c>
      <c r="BH8" s="93">
        <v>0.03</v>
      </c>
      <c r="BI8" s="92">
        <f>BG8*BH8+BG8</f>
        <v>410.97</v>
      </c>
      <c r="BJ8" s="93">
        <v>0.08</v>
      </c>
      <c r="BK8" s="92">
        <f>BI8*BJ8+BI8</f>
        <v>443.84760000000006</v>
      </c>
      <c r="BL8" s="92">
        <v>92</v>
      </c>
      <c r="BM8" s="95">
        <f>BK8/BL8</f>
        <v>4.8244304347826095</v>
      </c>
      <c r="BN8" s="42"/>
      <c r="BO8" s="73">
        <v>4.8499999999999996</v>
      </c>
    </row>
    <row r="9" spans="1:69" x14ac:dyDescent="0.25">
      <c r="A9" s="96"/>
      <c r="B9" s="44"/>
      <c r="C9" s="44"/>
      <c r="D9" s="18"/>
      <c r="E9" s="18"/>
      <c r="F9" s="18"/>
      <c r="G9" s="18"/>
      <c r="H9" s="188"/>
      <c r="I9" s="18"/>
      <c r="J9" s="97"/>
      <c r="K9" s="18"/>
      <c r="L9" s="18"/>
      <c r="M9" s="18"/>
      <c r="N9" s="18"/>
      <c r="O9" s="18"/>
      <c r="P9" s="18"/>
      <c r="Q9" s="18"/>
      <c r="R9" s="21" t="s">
        <v>65</v>
      </c>
      <c r="S9" s="18">
        <v>305</v>
      </c>
      <c r="T9" s="40">
        <v>0.3</v>
      </c>
      <c r="U9" s="25">
        <f>S9*T9</f>
        <v>91.5</v>
      </c>
      <c r="W9" s="44"/>
      <c r="X9" s="44"/>
      <c r="Y9" s="44"/>
      <c r="AA9" s="78"/>
      <c r="AB9" s="78"/>
      <c r="AE9" s="25"/>
      <c r="AF9" s="25"/>
      <c r="AG9" s="25"/>
      <c r="AH9" s="25"/>
      <c r="AI9" s="25"/>
      <c r="AJ9" s="25"/>
      <c r="AK9" s="26"/>
      <c r="AL9" s="25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99"/>
      <c r="BH9" s="100"/>
      <c r="BI9" s="99"/>
      <c r="BJ9" s="100"/>
      <c r="BK9" s="100"/>
      <c r="BL9" s="100"/>
      <c r="BM9" s="101"/>
      <c r="BN9" s="42"/>
    </row>
    <row r="10" spans="1:69" ht="15" customHeight="1" x14ac:dyDescent="0.25">
      <c r="A10" s="114"/>
      <c r="B10" s="103" t="s">
        <v>38</v>
      </c>
      <c r="C10" s="103">
        <v>9414</v>
      </c>
      <c r="D10" s="104" t="s">
        <v>116</v>
      </c>
      <c r="E10" s="104" t="s">
        <v>117</v>
      </c>
      <c r="F10" s="104" t="s">
        <v>112</v>
      </c>
      <c r="G10" s="104" t="s">
        <v>17</v>
      </c>
      <c r="H10" s="189"/>
      <c r="I10" s="104" t="s">
        <v>110</v>
      </c>
      <c r="J10" s="105" t="s">
        <v>82</v>
      </c>
      <c r="K10" s="104" t="s">
        <v>113</v>
      </c>
      <c r="L10" s="104">
        <v>370</v>
      </c>
      <c r="M10" s="106">
        <v>0.09</v>
      </c>
      <c r="N10" s="104"/>
      <c r="O10" s="104">
        <v>500</v>
      </c>
      <c r="P10" s="107">
        <f>O10*M10</f>
        <v>45</v>
      </c>
      <c r="Q10" s="104"/>
      <c r="R10" s="108" t="s">
        <v>65</v>
      </c>
      <c r="S10" s="104">
        <v>305</v>
      </c>
      <c r="T10" s="109">
        <v>1</v>
      </c>
      <c r="U10" s="110">
        <f>S10*T10</f>
        <v>305</v>
      </c>
      <c r="V10" s="104">
        <v>70</v>
      </c>
      <c r="W10" s="103"/>
      <c r="X10" s="103">
        <v>55</v>
      </c>
      <c r="Y10" s="103"/>
      <c r="Z10" s="104">
        <v>13</v>
      </c>
      <c r="AA10" s="104"/>
      <c r="AB10" s="104"/>
      <c r="AC10" s="104"/>
      <c r="AD10" s="104"/>
      <c r="AE10" s="110">
        <f>SUM(U10:AD10)</f>
        <v>443</v>
      </c>
      <c r="AF10" s="110">
        <f>ROUND(AE10*10%,0)</f>
        <v>44</v>
      </c>
      <c r="AG10" s="110">
        <v>0</v>
      </c>
      <c r="AH10" s="110">
        <v>0</v>
      </c>
      <c r="AI10" s="110">
        <v>0</v>
      </c>
      <c r="AJ10" s="104"/>
      <c r="AK10" s="111">
        <f>SUM(AE10:AI10)</f>
        <v>487</v>
      </c>
      <c r="AL10" s="110">
        <f>ROUND(M10*AK10,0)</f>
        <v>44</v>
      </c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79"/>
      <c r="BH10" s="79"/>
      <c r="BI10" s="112"/>
      <c r="BJ10" s="79"/>
      <c r="BK10" s="79"/>
      <c r="BL10" s="79"/>
      <c r="BM10" s="113"/>
      <c r="BN10" s="45"/>
    </row>
    <row r="11" spans="1:69" ht="15" customHeight="1" x14ac:dyDescent="0.25">
      <c r="A11" s="123"/>
      <c r="B11" s="44"/>
      <c r="C11" s="44"/>
      <c r="D11" s="18"/>
      <c r="E11" s="18"/>
      <c r="F11" s="18"/>
      <c r="G11" s="18"/>
      <c r="H11" s="165"/>
      <c r="I11" s="18"/>
      <c r="J11" s="97"/>
      <c r="K11" s="18"/>
      <c r="L11" s="18"/>
      <c r="M11" s="18"/>
      <c r="N11" s="18"/>
      <c r="O11" s="18"/>
      <c r="P11" s="18"/>
      <c r="Q11" s="18"/>
      <c r="W11" s="44"/>
      <c r="X11" s="44"/>
      <c r="Y11" s="44"/>
      <c r="AL11" s="29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00"/>
      <c r="BI11" s="100"/>
      <c r="BJ11" s="100"/>
      <c r="BK11" s="100"/>
      <c r="BL11" s="100"/>
      <c r="BM11" s="101"/>
      <c r="BN11" s="42"/>
    </row>
    <row r="12" spans="1:69" ht="15" customHeight="1" x14ac:dyDescent="0.25">
      <c r="A12" s="115">
        <v>3</v>
      </c>
      <c r="B12" s="82" t="s">
        <v>38</v>
      </c>
      <c r="C12" s="82">
        <v>9414</v>
      </c>
      <c r="D12" s="83" t="s">
        <v>146</v>
      </c>
      <c r="E12" s="83" t="s">
        <v>147</v>
      </c>
      <c r="F12" s="83" t="s">
        <v>148</v>
      </c>
      <c r="G12" s="83" t="s">
        <v>149</v>
      </c>
      <c r="H12" s="187" t="s">
        <v>204</v>
      </c>
      <c r="I12" s="190" t="s">
        <v>150</v>
      </c>
      <c r="J12" s="84" t="s">
        <v>18</v>
      </c>
      <c r="K12" s="83" t="s">
        <v>109</v>
      </c>
      <c r="L12" s="83">
        <v>140</v>
      </c>
      <c r="M12" s="83">
        <v>9.5000000000000001E-2</v>
      </c>
      <c r="N12" s="83"/>
      <c r="O12" s="83">
        <v>500</v>
      </c>
      <c r="P12" s="86">
        <f>O12*M12</f>
        <v>47.5</v>
      </c>
      <c r="Q12" s="83"/>
      <c r="R12" s="87" t="s">
        <v>151</v>
      </c>
      <c r="S12" s="116">
        <v>333</v>
      </c>
      <c r="T12" s="117">
        <v>1</v>
      </c>
      <c r="U12" s="89">
        <f>S12*T12</f>
        <v>333</v>
      </c>
      <c r="V12" s="83">
        <v>13</v>
      </c>
      <c r="W12" s="82"/>
      <c r="X12" s="82">
        <v>150</v>
      </c>
      <c r="Y12" s="82"/>
      <c r="Z12" s="83">
        <v>13</v>
      </c>
      <c r="AA12" s="90">
        <v>13</v>
      </c>
      <c r="AB12" s="83"/>
      <c r="AC12" s="83"/>
      <c r="AD12" s="83"/>
      <c r="AE12" s="89">
        <f>SUM(U12:AD12)</f>
        <v>522</v>
      </c>
      <c r="AF12" s="89">
        <f>ROUND(AE12*10%,0)</f>
        <v>52</v>
      </c>
      <c r="AG12" s="89">
        <v>0</v>
      </c>
      <c r="AH12" s="89">
        <v>0</v>
      </c>
      <c r="AI12" s="89">
        <v>0</v>
      </c>
      <c r="AJ12" s="83"/>
      <c r="AK12" s="91">
        <f>SUM(AE12:AI12)</f>
        <v>574</v>
      </c>
      <c r="AL12" s="89">
        <f>ROUND(M12*AK12,0)</f>
        <v>55</v>
      </c>
      <c r="AM12" s="83">
        <v>72</v>
      </c>
      <c r="AN12" s="83">
        <v>18</v>
      </c>
      <c r="AO12" s="83">
        <v>3</v>
      </c>
      <c r="AP12" s="83">
        <v>3</v>
      </c>
      <c r="AQ12" s="83"/>
      <c r="AR12" s="83"/>
      <c r="AS12" s="83">
        <v>10</v>
      </c>
      <c r="AT12" s="83"/>
      <c r="AU12" s="83"/>
      <c r="AV12" s="83">
        <v>7.5</v>
      </c>
      <c r="AW12" s="83"/>
      <c r="AX12" s="83"/>
      <c r="AY12" s="83"/>
      <c r="AZ12" s="83"/>
      <c r="BA12" s="83"/>
      <c r="BB12" s="83"/>
      <c r="BC12" s="83"/>
      <c r="BD12" s="83">
        <v>30</v>
      </c>
      <c r="BE12" s="83"/>
      <c r="BF12" s="83"/>
      <c r="BG12" s="92">
        <f>SUM(AL12:BF13)</f>
        <v>303.5</v>
      </c>
      <c r="BH12" s="93">
        <v>0.03</v>
      </c>
      <c r="BI12" s="92">
        <f>BG12*BH12+BG12</f>
        <v>312.60500000000002</v>
      </c>
      <c r="BJ12" s="93">
        <v>0.14000000000000001</v>
      </c>
      <c r="BK12" s="92">
        <f>BI12*BJ12+BI12</f>
        <v>356.36970000000002</v>
      </c>
      <c r="BL12" s="92">
        <v>92</v>
      </c>
      <c r="BM12" s="95">
        <f>BK12/BL12</f>
        <v>3.8735836956521741</v>
      </c>
      <c r="BN12" s="42"/>
      <c r="BO12" s="73">
        <v>3.95</v>
      </c>
    </row>
    <row r="13" spans="1:69" ht="15" customHeight="1" x14ac:dyDescent="0.25">
      <c r="A13" s="114"/>
      <c r="B13" s="103"/>
      <c r="C13" s="103"/>
      <c r="D13" s="104"/>
      <c r="E13" s="104"/>
      <c r="F13" s="104" t="s">
        <v>152</v>
      </c>
      <c r="G13" s="104" t="s">
        <v>153</v>
      </c>
      <c r="H13" s="189"/>
      <c r="I13" s="191"/>
      <c r="J13" s="105" t="s">
        <v>152</v>
      </c>
      <c r="K13" s="104" t="s">
        <v>154</v>
      </c>
      <c r="L13" s="104">
        <v>40</v>
      </c>
      <c r="M13" s="104"/>
      <c r="N13" s="104">
        <v>3</v>
      </c>
      <c r="O13" s="104">
        <v>500</v>
      </c>
      <c r="P13" s="104"/>
      <c r="Q13" s="110">
        <f>N13*O13</f>
        <v>1500</v>
      </c>
      <c r="R13" s="108"/>
      <c r="S13" s="104"/>
      <c r="T13" s="104"/>
      <c r="U13" s="104"/>
      <c r="V13" s="104"/>
      <c r="W13" s="103"/>
      <c r="X13" s="103"/>
      <c r="Y13" s="103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18">
        <v>35</v>
      </c>
      <c r="AL13" s="110">
        <f>ROUND(N13*AK13,0)</f>
        <v>105</v>
      </c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19"/>
      <c r="BI13" s="119"/>
      <c r="BJ13" s="119"/>
      <c r="BK13" s="119"/>
      <c r="BL13" s="119"/>
      <c r="BM13" s="120"/>
      <c r="BN13" s="42"/>
    </row>
    <row r="14" spans="1:69" ht="15" customHeight="1" x14ac:dyDescent="0.25">
      <c r="A14" s="123"/>
      <c r="B14" s="44"/>
      <c r="C14" s="44"/>
      <c r="D14" s="18"/>
      <c r="E14" s="18"/>
      <c r="F14" s="18"/>
      <c r="G14" s="18"/>
      <c r="H14" s="18"/>
      <c r="I14" s="18"/>
      <c r="J14" s="97"/>
      <c r="K14" s="18"/>
      <c r="L14" s="18"/>
      <c r="M14" s="18"/>
      <c r="N14" s="25"/>
      <c r="O14" s="18"/>
      <c r="P14" s="18"/>
      <c r="Q14" s="25"/>
      <c r="W14" s="44"/>
      <c r="X14" s="44"/>
      <c r="Y14" s="44"/>
      <c r="AL14" s="25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00"/>
      <c r="BI14" s="100"/>
      <c r="BJ14" s="100"/>
      <c r="BK14" s="100"/>
      <c r="BL14" s="100"/>
      <c r="BM14" s="101"/>
      <c r="BN14" s="42"/>
    </row>
    <row r="15" spans="1:69" ht="15" customHeight="1" x14ac:dyDescent="0.25">
      <c r="A15" s="121">
        <v>4</v>
      </c>
      <c r="B15" s="82" t="s">
        <v>38</v>
      </c>
      <c r="C15" s="82">
        <v>9414</v>
      </c>
      <c r="D15" s="83" t="s">
        <v>136</v>
      </c>
      <c r="E15" s="83" t="s">
        <v>137</v>
      </c>
      <c r="F15" s="83" t="s">
        <v>98</v>
      </c>
      <c r="G15" s="83" t="s">
        <v>181</v>
      </c>
      <c r="H15" s="190" t="s">
        <v>157</v>
      </c>
      <c r="I15" s="190" t="s">
        <v>39</v>
      </c>
      <c r="J15" s="84" t="s">
        <v>188</v>
      </c>
      <c r="K15" s="83" t="s">
        <v>189</v>
      </c>
      <c r="L15" s="83">
        <v>200</v>
      </c>
      <c r="M15" s="83">
        <v>0.114</v>
      </c>
      <c r="N15" s="89"/>
      <c r="O15" s="83">
        <v>500</v>
      </c>
      <c r="P15" s="86">
        <f>O15*M15</f>
        <v>57</v>
      </c>
      <c r="Q15" s="89"/>
      <c r="R15" s="87" t="s">
        <v>64</v>
      </c>
      <c r="S15" s="83">
        <v>333</v>
      </c>
      <c r="T15" s="88">
        <v>1</v>
      </c>
      <c r="U15" s="89">
        <f>S15*T15</f>
        <v>333</v>
      </c>
      <c r="V15" s="83">
        <v>65</v>
      </c>
      <c r="W15" s="82">
        <v>20</v>
      </c>
      <c r="X15" s="82">
        <v>130</v>
      </c>
      <c r="Y15" s="82"/>
      <c r="Z15" s="83">
        <v>12</v>
      </c>
      <c r="AA15" s="90">
        <v>13</v>
      </c>
      <c r="AB15" s="90">
        <v>0</v>
      </c>
      <c r="AC15" s="90">
        <v>8</v>
      </c>
      <c r="AD15" s="83"/>
      <c r="AE15" s="89">
        <f>SUM(U15:AD16)</f>
        <v>581</v>
      </c>
      <c r="AF15" s="89">
        <f>ROUND(AE15*10%,0)</f>
        <v>58</v>
      </c>
      <c r="AG15" s="89">
        <v>0</v>
      </c>
      <c r="AH15" s="89">
        <v>0</v>
      </c>
      <c r="AI15" s="89">
        <v>0</v>
      </c>
      <c r="AJ15" s="89"/>
      <c r="AK15" s="91">
        <f>SUM(AE15:AI15)</f>
        <v>639</v>
      </c>
      <c r="AL15" s="89">
        <f>ROUND(M15*AK15,0)</f>
        <v>73</v>
      </c>
      <c r="AM15" s="83">
        <v>105</v>
      </c>
      <c r="AN15" s="83">
        <v>18</v>
      </c>
      <c r="AO15" s="83">
        <v>3</v>
      </c>
      <c r="AP15" s="83">
        <v>3</v>
      </c>
      <c r="AQ15" s="83">
        <v>1</v>
      </c>
      <c r="AR15" s="83"/>
      <c r="AS15" s="83">
        <v>5</v>
      </c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>
        <v>4</v>
      </c>
      <c r="BE15" s="83">
        <v>8</v>
      </c>
      <c r="BF15" s="83"/>
      <c r="BG15" s="92">
        <f>SUM(AL15:BF16)</f>
        <v>440</v>
      </c>
      <c r="BH15" s="93">
        <v>0</v>
      </c>
      <c r="BI15" s="92">
        <f>BG15*BH15+BG15</f>
        <v>440</v>
      </c>
      <c r="BJ15" s="93">
        <v>0</v>
      </c>
      <c r="BK15" s="92">
        <f>BI15*BJ15+BI15</f>
        <v>440</v>
      </c>
      <c r="BL15" s="92">
        <v>93</v>
      </c>
      <c r="BM15" s="95">
        <f>BK15/BL15</f>
        <v>4.731182795698925</v>
      </c>
      <c r="BN15" s="42"/>
    </row>
    <row r="16" spans="1:69" ht="15" customHeight="1" x14ac:dyDescent="0.25">
      <c r="A16" s="114"/>
      <c r="B16" s="103" t="s">
        <v>38</v>
      </c>
      <c r="C16" s="103">
        <v>9414</v>
      </c>
      <c r="D16" s="104" t="s">
        <v>136</v>
      </c>
      <c r="E16" s="104" t="s">
        <v>137</v>
      </c>
      <c r="F16" s="104" t="s">
        <v>140</v>
      </c>
      <c r="G16" s="104" t="s">
        <v>141</v>
      </c>
      <c r="H16" s="191"/>
      <c r="I16" s="191"/>
      <c r="J16" s="105" t="s">
        <v>140</v>
      </c>
      <c r="K16" s="104" t="s">
        <v>142</v>
      </c>
      <c r="L16" s="104"/>
      <c r="M16" s="104"/>
      <c r="N16" s="110">
        <v>2.2000000000000002</v>
      </c>
      <c r="O16" s="104">
        <v>500</v>
      </c>
      <c r="P16" s="104"/>
      <c r="Q16" s="110">
        <f>N16*O16</f>
        <v>1100</v>
      </c>
      <c r="R16" s="108"/>
      <c r="S16" s="104"/>
      <c r="T16" s="104"/>
      <c r="U16" s="104"/>
      <c r="V16" s="104"/>
      <c r="W16" s="103"/>
      <c r="X16" s="103"/>
      <c r="Y16" s="103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18">
        <v>100</v>
      </c>
      <c r="AL16" s="110">
        <f>ROUND(N16*AK16,0)</f>
        <v>220</v>
      </c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19"/>
      <c r="BI16" s="119"/>
      <c r="BJ16" s="119"/>
      <c r="BK16" s="119"/>
      <c r="BL16" s="119"/>
      <c r="BM16" s="120"/>
      <c r="BN16" s="42"/>
    </row>
    <row r="17" spans="1:68" ht="15" customHeight="1" x14ac:dyDescent="0.25">
      <c r="A17" s="123"/>
      <c r="B17" s="44"/>
      <c r="C17" s="44"/>
      <c r="D17" s="18"/>
      <c r="E17" s="18"/>
      <c r="F17" s="18"/>
      <c r="G17" s="18"/>
      <c r="H17" s="18"/>
      <c r="I17" s="18"/>
      <c r="J17" s="97"/>
      <c r="K17" s="18"/>
      <c r="L17" s="18"/>
      <c r="M17" s="18"/>
      <c r="N17" s="25"/>
      <c r="O17" s="18"/>
      <c r="P17" s="18"/>
      <c r="Q17" s="25"/>
      <c r="W17" s="44"/>
      <c r="X17" s="44"/>
      <c r="Y17" s="44"/>
      <c r="AL17" s="25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00"/>
      <c r="BI17" s="100"/>
      <c r="BJ17" s="100"/>
      <c r="BK17" s="100"/>
      <c r="BL17" s="100"/>
      <c r="BM17" s="101"/>
      <c r="BN17" s="42"/>
    </row>
    <row r="18" spans="1:68" ht="15" customHeight="1" x14ac:dyDescent="0.25">
      <c r="A18" s="115">
        <v>5</v>
      </c>
      <c r="B18" s="82" t="s">
        <v>38</v>
      </c>
      <c r="C18" s="82">
        <v>9414</v>
      </c>
      <c r="D18" s="83" t="s">
        <v>94</v>
      </c>
      <c r="E18" s="82" t="s">
        <v>95</v>
      </c>
      <c r="F18" s="83" t="s">
        <v>80</v>
      </c>
      <c r="G18" s="83" t="s">
        <v>40</v>
      </c>
      <c r="H18" s="196" t="s">
        <v>96</v>
      </c>
      <c r="I18" s="190" t="s">
        <v>39</v>
      </c>
      <c r="J18" s="84" t="s">
        <v>82</v>
      </c>
      <c r="K18" s="83" t="s">
        <v>83</v>
      </c>
      <c r="L18" s="83">
        <v>280</v>
      </c>
      <c r="M18" s="83">
        <v>0.48499999999999999</v>
      </c>
      <c r="N18" s="83"/>
      <c r="O18" s="83">
        <v>500</v>
      </c>
      <c r="P18" s="86">
        <f>O18*M18</f>
        <v>242.5</v>
      </c>
      <c r="Q18" s="83"/>
      <c r="R18" s="87" t="s">
        <v>64</v>
      </c>
      <c r="S18" s="83">
        <v>328</v>
      </c>
      <c r="T18" s="88">
        <v>0.7</v>
      </c>
      <c r="U18" s="89">
        <f>S18*T18</f>
        <v>229.6</v>
      </c>
      <c r="V18" s="83">
        <v>25</v>
      </c>
      <c r="W18" s="82"/>
      <c r="X18" s="82"/>
      <c r="Y18" s="82">
        <v>190</v>
      </c>
      <c r="Z18" s="83">
        <v>12</v>
      </c>
      <c r="AA18" s="90">
        <v>13</v>
      </c>
      <c r="AB18" s="90">
        <v>13</v>
      </c>
      <c r="AC18" s="83"/>
      <c r="AD18" s="83"/>
      <c r="AE18" s="89">
        <f>SUM(U18:AD19)</f>
        <v>571.1</v>
      </c>
      <c r="AF18" s="89">
        <f>ROUND(AE18*10%,0)</f>
        <v>57</v>
      </c>
      <c r="AG18" s="89">
        <v>0</v>
      </c>
      <c r="AH18" s="89">
        <v>0</v>
      </c>
      <c r="AI18" s="89">
        <v>0</v>
      </c>
      <c r="AJ18" s="89"/>
      <c r="AK18" s="91">
        <f>SUM(AE18:AI18)</f>
        <v>628.1</v>
      </c>
      <c r="AL18" s="89">
        <f>ROUND(M18*AK18,0)</f>
        <v>305</v>
      </c>
      <c r="AM18" s="83">
        <v>55</v>
      </c>
      <c r="AN18" s="83">
        <v>18</v>
      </c>
      <c r="AO18" s="83">
        <v>3</v>
      </c>
      <c r="AP18" s="83">
        <v>3</v>
      </c>
      <c r="AQ18" s="83">
        <v>0</v>
      </c>
      <c r="AR18" s="83">
        <v>0</v>
      </c>
      <c r="AS18" s="83">
        <v>0</v>
      </c>
      <c r="AT18" s="83"/>
      <c r="AU18" s="83"/>
      <c r="AV18" s="83"/>
      <c r="AW18" s="83">
        <v>2</v>
      </c>
      <c r="AX18" s="83">
        <v>0</v>
      </c>
      <c r="AY18" s="83">
        <v>0</v>
      </c>
      <c r="AZ18" s="83">
        <v>20</v>
      </c>
      <c r="BA18" s="83">
        <v>30</v>
      </c>
      <c r="BB18" s="83">
        <v>0</v>
      </c>
      <c r="BC18" s="83">
        <v>0</v>
      </c>
      <c r="BD18" s="83">
        <v>0</v>
      </c>
      <c r="BE18" s="83"/>
      <c r="BF18" s="83">
        <v>0</v>
      </c>
      <c r="BG18" s="122">
        <f>SUM(AL18:BF20)</f>
        <v>460</v>
      </c>
      <c r="BH18" s="93">
        <v>0.03</v>
      </c>
      <c r="BI18" s="92">
        <f>BG18*BH18+BG18</f>
        <v>473.8</v>
      </c>
      <c r="BJ18" s="93">
        <v>0.08</v>
      </c>
      <c r="BK18" s="92">
        <f>BI18*BJ18+BI18</f>
        <v>511.70400000000001</v>
      </c>
      <c r="BL18" s="92">
        <v>92</v>
      </c>
      <c r="BM18" s="95">
        <f>BK18/BL18</f>
        <v>5.5620000000000003</v>
      </c>
      <c r="BN18" s="42"/>
      <c r="BO18" s="73">
        <v>5.55</v>
      </c>
    </row>
    <row r="19" spans="1:68" ht="15" customHeight="1" x14ac:dyDescent="0.25">
      <c r="A19" s="123"/>
      <c r="B19" s="44"/>
      <c r="C19" s="44"/>
      <c r="D19" s="18"/>
      <c r="E19" s="18"/>
      <c r="F19" s="18"/>
      <c r="G19" s="18"/>
      <c r="H19" s="197"/>
      <c r="I19" s="192"/>
      <c r="J19" s="97"/>
      <c r="K19" s="18"/>
      <c r="L19" s="18"/>
      <c r="M19" s="18"/>
      <c r="N19" s="18"/>
      <c r="O19" s="18"/>
      <c r="P19" s="18"/>
      <c r="Q19" s="18"/>
      <c r="R19" s="21" t="s">
        <v>65</v>
      </c>
      <c r="S19" s="18">
        <v>295</v>
      </c>
      <c r="T19" s="40">
        <v>0.3</v>
      </c>
      <c r="U19" s="25">
        <f>S19*T19</f>
        <v>88.5</v>
      </c>
      <c r="W19" s="44"/>
      <c r="X19" s="44"/>
      <c r="Y19" s="44"/>
      <c r="AA19" s="78"/>
      <c r="AB19" s="78"/>
      <c r="AE19" s="25"/>
      <c r="AF19" s="25"/>
      <c r="AG19" s="25"/>
      <c r="AH19" s="25"/>
      <c r="AI19" s="25"/>
      <c r="AJ19" s="25"/>
      <c r="AK19" s="26"/>
      <c r="AL19" s="25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24"/>
      <c r="BH19" s="100"/>
      <c r="BI19" s="99"/>
      <c r="BJ19" s="100"/>
      <c r="BK19" s="99"/>
      <c r="BL19" s="99"/>
      <c r="BM19" s="101"/>
      <c r="BN19" s="42"/>
    </row>
    <row r="20" spans="1:68" ht="15" customHeight="1" x14ac:dyDescent="0.25">
      <c r="A20" s="114"/>
      <c r="B20" s="103" t="s">
        <v>38</v>
      </c>
      <c r="C20" s="103">
        <v>9414</v>
      </c>
      <c r="D20" s="104" t="s">
        <v>94</v>
      </c>
      <c r="E20" s="103" t="s">
        <v>95</v>
      </c>
      <c r="F20" s="104" t="s">
        <v>98</v>
      </c>
      <c r="G20" s="103" t="s">
        <v>97</v>
      </c>
      <c r="H20" s="198"/>
      <c r="I20" s="191"/>
      <c r="J20" s="105" t="s">
        <v>18</v>
      </c>
      <c r="K20" s="104" t="s">
        <v>83</v>
      </c>
      <c r="L20" s="104">
        <v>180</v>
      </c>
      <c r="M20" s="104">
        <v>0.04</v>
      </c>
      <c r="N20" s="104"/>
      <c r="O20" s="104">
        <v>500</v>
      </c>
      <c r="P20" s="107">
        <f>O20*M20</f>
        <v>20</v>
      </c>
      <c r="Q20" s="104"/>
      <c r="R20" s="108" t="s">
        <v>118</v>
      </c>
      <c r="S20" s="125">
        <v>311</v>
      </c>
      <c r="T20" s="109">
        <v>1</v>
      </c>
      <c r="U20" s="110">
        <f>S20*T20</f>
        <v>311</v>
      </c>
      <c r="V20" s="104">
        <v>13</v>
      </c>
      <c r="W20" s="103"/>
      <c r="X20" s="103"/>
      <c r="Y20" s="103">
        <v>190</v>
      </c>
      <c r="Z20" s="104">
        <v>12</v>
      </c>
      <c r="AA20" s="126">
        <v>13</v>
      </c>
      <c r="AB20" s="126"/>
      <c r="AC20" s="104"/>
      <c r="AD20" s="104"/>
      <c r="AE20" s="110">
        <f>SUM(U20:AD21)</f>
        <v>539</v>
      </c>
      <c r="AF20" s="110">
        <f>ROUND(AE20*10%,0)</f>
        <v>54</v>
      </c>
      <c r="AG20" s="110">
        <v>0</v>
      </c>
      <c r="AH20" s="110">
        <v>0</v>
      </c>
      <c r="AI20" s="110">
        <v>0</v>
      </c>
      <c r="AJ20" s="110"/>
      <c r="AK20" s="111">
        <f>SUM(AE20:AI20)</f>
        <v>593</v>
      </c>
      <c r="AL20" s="110">
        <f>ROUND(M20*AK20,0)</f>
        <v>24</v>
      </c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27"/>
      <c r="BH20" s="119"/>
      <c r="BI20" s="128"/>
      <c r="BJ20" s="119"/>
      <c r="BK20" s="128"/>
      <c r="BL20" s="128"/>
      <c r="BM20" s="120"/>
      <c r="BN20" s="42"/>
    </row>
    <row r="21" spans="1:68" ht="15" customHeight="1" x14ac:dyDescent="0.25">
      <c r="A21" s="123"/>
      <c r="B21" s="44"/>
      <c r="C21" s="44"/>
      <c r="D21" s="18"/>
      <c r="E21" s="44"/>
      <c r="F21" s="18"/>
      <c r="G21" s="18"/>
      <c r="H21" s="44"/>
      <c r="I21" s="18"/>
      <c r="J21" s="97"/>
      <c r="K21" s="18"/>
      <c r="L21" s="18"/>
      <c r="M21" s="18"/>
      <c r="N21" s="18"/>
      <c r="O21" s="18"/>
      <c r="P21" s="98"/>
      <c r="Q21" s="18"/>
      <c r="T21" s="40"/>
      <c r="U21" s="25"/>
      <c r="W21" s="44"/>
      <c r="X21" s="44"/>
      <c r="Y21" s="44"/>
      <c r="AA21" s="78"/>
      <c r="AB21" s="78"/>
      <c r="AE21" s="25"/>
      <c r="AF21" s="25"/>
      <c r="AG21" s="25"/>
      <c r="AH21" s="25"/>
      <c r="AI21" s="25"/>
      <c r="AJ21" s="25"/>
      <c r="AK21" s="26"/>
      <c r="AL21" s="25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99"/>
      <c r="BH21" s="100"/>
      <c r="BI21" s="99"/>
      <c r="BJ21" s="100"/>
      <c r="BK21" s="99"/>
      <c r="BL21" s="99"/>
      <c r="BM21" s="101"/>
      <c r="BN21" s="42"/>
    </row>
    <row r="22" spans="1:68" ht="15" customHeight="1" x14ac:dyDescent="0.25">
      <c r="A22" s="129">
        <v>6</v>
      </c>
      <c r="B22" s="82" t="s">
        <v>38</v>
      </c>
      <c r="C22" s="82">
        <v>9414</v>
      </c>
      <c r="D22" s="116" t="s">
        <v>101</v>
      </c>
      <c r="E22" s="116" t="s">
        <v>102</v>
      </c>
      <c r="F22" s="116" t="s">
        <v>80</v>
      </c>
      <c r="G22" s="83" t="s">
        <v>40</v>
      </c>
      <c r="H22" s="183" t="s">
        <v>96</v>
      </c>
      <c r="I22" s="190" t="s">
        <v>39</v>
      </c>
      <c r="J22" s="84" t="s">
        <v>99</v>
      </c>
      <c r="K22" s="83" t="s">
        <v>83</v>
      </c>
      <c r="L22" s="83">
        <v>280</v>
      </c>
      <c r="M22" s="85">
        <v>0.26500000000000001</v>
      </c>
      <c r="N22" s="116"/>
      <c r="O22" s="83">
        <v>500</v>
      </c>
      <c r="P22" s="86">
        <f>O22*M22</f>
        <v>132.5</v>
      </c>
      <c r="Q22" s="86"/>
      <c r="R22" s="87" t="s">
        <v>64</v>
      </c>
      <c r="S22" s="83">
        <v>328</v>
      </c>
      <c r="T22" s="88">
        <v>0.7</v>
      </c>
      <c r="U22" s="89">
        <f>S22*T22</f>
        <v>229.6</v>
      </c>
      <c r="V22" s="83">
        <v>25</v>
      </c>
      <c r="W22" s="82"/>
      <c r="X22" s="82"/>
      <c r="Y22" s="82">
        <v>190</v>
      </c>
      <c r="Z22" s="83">
        <v>12</v>
      </c>
      <c r="AA22" s="90">
        <v>13</v>
      </c>
      <c r="AB22" s="90">
        <v>13</v>
      </c>
      <c r="AC22" s="83"/>
      <c r="AD22" s="83"/>
      <c r="AE22" s="89">
        <f>SUM(U22:AD23)</f>
        <v>574.4</v>
      </c>
      <c r="AF22" s="89">
        <f>ROUND(AE22*10%,0)</f>
        <v>57</v>
      </c>
      <c r="AG22" s="89">
        <v>0</v>
      </c>
      <c r="AH22" s="89">
        <v>0</v>
      </c>
      <c r="AI22" s="89">
        <v>0</v>
      </c>
      <c r="AJ22" s="89"/>
      <c r="AK22" s="91">
        <f>SUM(AE22:AI22)</f>
        <v>631.4</v>
      </c>
      <c r="AL22" s="89">
        <f>ROUND(M22*AK22,0)</f>
        <v>167</v>
      </c>
      <c r="AM22" s="83">
        <v>62</v>
      </c>
      <c r="AN22" s="83">
        <v>18</v>
      </c>
      <c r="AO22" s="83">
        <v>3</v>
      </c>
      <c r="AP22" s="83">
        <v>3</v>
      </c>
      <c r="AQ22" s="83">
        <v>0</v>
      </c>
      <c r="AR22" s="83">
        <v>0</v>
      </c>
      <c r="AS22" s="83">
        <v>2</v>
      </c>
      <c r="AT22" s="83"/>
      <c r="AU22" s="83">
        <v>0</v>
      </c>
      <c r="AV22" s="83">
        <v>0</v>
      </c>
      <c r="AW22" s="83">
        <v>0</v>
      </c>
      <c r="AX22" s="83">
        <v>0</v>
      </c>
      <c r="AY22" s="83">
        <v>0</v>
      </c>
      <c r="AZ22" s="83">
        <v>35</v>
      </c>
      <c r="BA22" s="83">
        <v>35</v>
      </c>
      <c r="BB22" s="83">
        <v>0</v>
      </c>
      <c r="BC22" s="83">
        <v>0</v>
      </c>
      <c r="BD22" s="83">
        <v>4</v>
      </c>
      <c r="BE22" s="83">
        <v>8</v>
      </c>
      <c r="BF22" s="83">
        <v>0</v>
      </c>
      <c r="BG22" s="92">
        <f>SUM(AL22:BF24)</f>
        <v>359</v>
      </c>
      <c r="BH22" s="93">
        <v>0.03</v>
      </c>
      <c r="BI22" s="92">
        <f>BG22*BH22+BG22</f>
        <v>369.77</v>
      </c>
      <c r="BJ22" s="93">
        <v>0.11</v>
      </c>
      <c r="BK22" s="92">
        <f>BI22*BJ22+BI22</f>
        <v>410.44470000000001</v>
      </c>
      <c r="BL22" s="92">
        <v>92</v>
      </c>
      <c r="BM22" s="95">
        <f>BK22/BL22</f>
        <v>4.4613554347826092</v>
      </c>
      <c r="BN22" s="42"/>
      <c r="BO22" s="73">
        <v>4.45</v>
      </c>
    </row>
    <row r="23" spans="1:68" ht="15" customHeight="1" x14ac:dyDescent="0.25">
      <c r="A23" s="130"/>
      <c r="B23" s="78"/>
      <c r="C23" s="78"/>
      <c r="D23" s="27"/>
      <c r="E23" s="27"/>
      <c r="F23" s="27"/>
      <c r="G23" s="78"/>
      <c r="H23" s="184"/>
      <c r="I23" s="192"/>
      <c r="J23" s="131"/>
      <c r="K23" s="171"/>
      <c r="L23" s="27"/>
      <c r="M23" s="98"/>
      <c r="N23" s="27"/>
      <c r="O23" s="27"/>
      <c r="P23" s="98"/>
      <c r="Q23" s="98"/>
      <c r="R23" s="21" t="s">
        <v>65</v>
      </c>
      <c r="S23" s="18">
        <v>306</v>
      </c>
      <c r="T23" s="40">
        <v>0.3</v>
      </c>
      <c r="U23" s="25">
        <f>S23*T23</f>
        <v>91.8</v>
      </c>
      <c r="W23" s="44"/>
      <c r="X23" s="44"/>
      <c r="Y23" s="44"/>
      <c r="AL23" s="25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99"/>
      <c r="BH23" s="100"/>
      <c r="BI23" s="99"/>
      <c r="BJ23" s="100"/>
      <c r="BK23" s="99"/>
      <c r="BL23" s="99"/>
      <c r="BM23" s="101"/>
      <c r="BN23" s="42"/>
    </row>
    <row r="24" spans="1:68" ht="15" customHeight="1" x14ac:dyDescent="0.25">
      <c r="A24" s="132"/>
      <c r="B24" s="103" t="s">
        <v>38</v>
      </c>
      <c r="C24" s="103">
        <v>9414</v>
      </c>
      <c r="D24" s="125" t="s">
        <v>101</v>
      </c>
      <c r="E24" s="125" t="s">
        <v>102</v>
      </c>
      <c r="F24" s="104" t="s">
        <v>103</v>
      </c>
      <c r="G24" s="126" t="s">
        <v>17</v>
      </c>
      <c r="H24" s="199"/>
      <c r="I24" s="191"/>
      <c r="J24" s="133" t="s">
        <v>100</v>
      </c>
      <c r="K24" s="104" t="s">
        <v>89</v>
      </c>
      <c r="L24" s="104">
        <v>370</v>
      </c>
      <c r="M24" s="104">
        <v>3.4000000000000002E-2</v>
      </c>
      <c r="N24" s="125"/>
      <c r="O24" s="104">
        <v>500</v>
      </c>
      <c r="P24" s="107">
        <f>O24*M24</f>
        <v>17</v>
      </c>
      <c r="Q24" s="107"/>
      <c r="R24" s="108" t="s">
        <v>65</v>
      </c>
      <c r="S24" s="104">
        <v>306</v>
      </c>
      <c r="T24" s="109">
        <v>1</v>
      </c>
      <c r="U24" s="110">
        <f>S24*T24</f>
        <v>306</v>
      </c>
      <c r="V24" s="104">
        <v>75</v>
      </c>
      <c r="W24" s="103"/>
      <c r="X24" s="103"/>
      <c r="Y24" s="104">
        <v>190</v>
      </c>
      <c r="Z24" s="104">
        <v>0</v>
      </c>
      <c r="AA24" s="104">
        <v>10</v>
      </c>
      <c r="AB24" s="104"/>
      <c r="AC24" s="104"/>
      <c r="AD24" s="104"/>
      <c r="AE24" s="110">
        <f>SUM(U24:AD24)</f>
        <v>581</v>
      </c>
      <c r="AF24" s="110">
        <f>ROUND(AE24*10%,0)</f>
        <v>58</v>
      </c>
      <c r="AG24" s="110">
        <v>0</v>
      </c>
      <c r="AH24" s="110">
        <v>0</v>
      </c>
      <c r="AI24" s="110">
        <v>0</v>
      </c>
      <c r="AJ24" s="110"/>
      <c r="AK24" s="111">
        <f>SUM(AE24:AI24)</f>
        <v>639</v>
      </c>
      <c r="AL24" s="110">
        <f>ROUND(M24*AK24,0)</f>
        <v>22</v>
      </c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28"/>
      <c r="BH24" s="119"/>
      <c r="BI24" s="128"/>
      <c r="BJ24" s="119"/>
      <c r="BK24" s="128"/>
      <c r="BL24" s="128"/>
      <c r="BM24" s="120"/>
      <c r="BN24" s="42"/>
    </row>
    <row r="25" spans="1:68" ht="15" customHeight="1" x14ac:dyDescent="0.25">
      <c r="A25" s="123"/>
      <c r="B25" s="44"/>
      <c r="C25" s="44"/>
      <c r="D25" s="18"/>
      <c r="E25" s="44"/>
      <c r="F25" s="18"/>
      <c r="G25" s="18"/>
      <c r="H25" s="44"/>
      <c r="I25" s="18"/>
      <c r="J25" s="97"/>
      <c r="K25" s="18"/>
      <c r="L25" s="18"/>
      <c r="M25" s="18"/>
      <c r="N25" s="18"/>
      <c r="O25" s="18"/>
      <c r="P25" s="98"/>
      <c r="Q25" s="18"/>
      <c r="T25" s="40"/>
      <c r="U25" s="25"/>
      <c r="W25" s="44"/>
      <c r="X25" s="44"/>
      <c r="Y25" s="44"/>
      <c r="AA25" s="78"/>
      <c r="AB25" s="78"/>
      <c r="AE25" s="25"/>
      <c r="AF25" s="25"/>
      <c r="AG25" s="25"/>
      <c r="AH25" s="25"/>
      <c r="AI25" s="25"/>
      <c r="AJ25" s="25"/>
      <c r="AK25" s="26"/>
      <c r="AL25" s="25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99"/>
      <c r="BH25" s="100"/>
      <c r="BI25" s="99"/>
      <c r="BJ25" s="100"/>
      <c r="BK25" s="99"/>
      <c r="BL25" s="99"/>
      <c r="BM25" s="101"/>
      <c r="BN25" s="42"/>
    </row>
    <row r="26" spans="1:68" ht="15" customHeight="1" x14ac:dyDescent="0.25">
      <c r="A26" s="115">
        <v>7</v>
      </c>
      <c r="B26" s="82" t="s">
        <v>38</v>
      </c>
      <c r="C26" s="82">
        <v>9414</v>
      </c>
      <c r="D26" s="83" t="s">
        <v>124</v>
      </c>
      <c r="E26" s="83" t="s">
        <v>125</v>
      </c>
      <c r="F26" s="83" t="s">
        <v>80</v>
      </c>
      <c r="G26" s="83" t="s">
        <v>40</v>
      </c>
      <c r="H26" s="187" t="s">
        <v>205</v>
      </c>
      <c r="I26" s="190" t="s">
        <v>39</v>
      </c>
      <c r="J26" s="84" t="s">
        <v>99</v>
      </c>
      <c r="K26" s="83" t="s">
        <v>83</v>
      </c>
      <c r="L26" s="83">
        <v>280</v>
      </c>
      <c r="M26" s="85">
        <v>0.28000000000000003</v>
      </c>
      <c r="N26" s="83"/>
      <c r="O26" s="83">
        <v>500</v>
      </c>
      <c r="P26" s="86">
        <f>O26*M26</f>
        <v>140</v>
      </c>
      <c r="Q26" s="83"/>
      <c r="R26" s="87" t="s">
        <v>64</v>
      </c>
      <c r="S26" s="83">
        <v>317</v>
      </c>
      <c r="T26" s="88">
        <v>0.7</v>
      </c>
      <c r="U26" s="89">
        <f>S26*T26</f>
        <v>221.89999999999998</v>
      </c>
      <c r="V26" s="83">
        <v>25</v>
      </c>
      <c r="W26" s="82"/>
      <c r="X26" s="82"/>
      <c r="Y26" s="82">
        <v>190</v>
      </c>
      <c r="Z26" s="83">
        <v>12</v>
      </c>
      <c r="AA26" s="90">
        <v>15</v>
      </c>
      <c r="AB26" s="90">
        <v>15</v>
      </c>
      <c r="AC26" s="90"/>
      <c r="AD26" s="83"/>
      <c r="AE26" s="89">
        <f>SUM(U26:AD27)</f>
        <v>567.4</v>
      </c>
      <c r="AF26" s="89">
        <f>ROUND(AE26*10%,0)</f>
        <v>57</v>
      </c>
      <c r="AG26" s="89">
        <v>0</v>
      </c>
      <c r="AH26" s="89">
        <v>0</v>
      </c>
      <c r="AI26" s="89">
        <v>0</v>
      </c>
      <c r="AJ26" s="89"/>
      <c r="AK26" s="91">
        <f>SUM(AE26:AI26)</f>
        <v>624.4</v>
      </c>
      <c r="AL26" s="89">
        <f>ROUND(M26*AK26,0)</f>
        <v>175</v>
      </c>
      <c r="AM26" s="83">
        <v>40</v>
      </c>
      <c r="AN26" s="83">
        <v>18</v>
      </c>
      <c r="AO26" s="83">
        <v>3</v>
      </c>
      <c r="AP26" s="83">
        <v>3</v>
      </c>
      <c r="AQ26" s="83">
        <v>1</v>
      </c>
      <c r="AR26" s="83">
        <v>0</v>
      </c>
      <c r="AS26" s="83">
        <v>0</v>
      </c>
      <c r="AT26" s="83"/>
      <c r="AU26" s="83"/>
      <c r="AV26" s="83"/>
      <c r="AW26" s="83">
        <v>1</v>
      </c>
      <c r="AX26" s="83">
        <v>0</v>
      </c>
      <c r="AY26" s="83">
        <v>0</v>
      </c>
      <c r="AZ26" s="83">
        <v>30</v>
      </c>
      <c r="BA26" s="83">
        <v>30</v>
      </c>
      <c r="BB26" s="83">
        <v>0</v>
      </c>
      <c r="BC26" s="83">
        <v>0</v>
      </c>
      <c r="BD26" s="83">
        <v>4</v>
      </c>
      <c r="BE26" s="83">
        <v>8</v>
      </c>
      <c r="BF26" s="83">
        <v>0</v>
      </c>
      <c r="BG26" s="92">
        <f>SUM(AL26:BF28)</f>
        <v>338</v>
      </c>
      <c r="BH26" s="93">
        <v>0.03</v>
      </c>
      <c r="BI26" s="92">
        <f>BG26*BH26+BG26</f>
        <v>348.14</v>
      </c>
      <c r="BJ26" s="93">
        <v>0.14000000000000001</v>
      </c>
      <c r="BK26" s="92">
        <f>BI26*BJ26+BI26</f>
        <v>396.87959999999998</v>
      </c>
      <c r="BL26" s="92">
        <v>92</v>
      </c>
      <c r="BM26" s="95">
        <f>BK26/BL26</f>
        <v>4.3139086956521737</v>
      </c>
      <c r="BN26" s="42"/>
      <c r="BO26" s="59">
        <v>4.3</v>
      </c>
      <c r="BP26" s="59"/>
    </row>
    <row r="27" spans="1:68" ht="15" customHeight="1" x14ac:dyDescent="0.25">
      <c r="A27" s="123"/>
      <c r="B27" s="44"/>
      <c r="C27" s="44"/>
      <c r="D27" s="18"/>
      <c r="E27" s="18"/>
      <c r="F27" s="18"/>
      <c r="G27" s="18"/>
      <c r="H27" s="188"/>
      <c r="I27" s="192"/>
      <c r="J27" s="97"/>
      <c r="K27" s="18"/>
      <c r="L27" s="18"/>
      <c r="M27" s="134"/>
      <c r="N27" s="18"/>
      <c r="O27" s="18"/>
      <c r="P27" s="18"/>
      <c r="Q27" s="18"/>
      <c r="R27" s="21" t="s">
        <v>65</v>
      </c>
      <c r="S27" s="18">
        <v>295</v>
      </c>
      <c r="T27" s="40">
        <v>0.3</v>
      </c>
      <c r="U27" s="25">
        <f>S27*T27</f>
        <v>88.5</v>
      </c>
      <c r="W27" s="44"/>
      <c r="X27" s="44"/>
      <c r="Y27" s="44"/>
      <c r="AL27" s="25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99"/>
      <c r="BH27" s="100"/>
      <c r="BI27" s="99"/>
      <c r="BJ27" s="100"/>
      <c r="BK27" s="99"/>
      <c r="BL27" s="99"/>
      <c r="BM27" s="101"/>
      <c r="BN27" s="42"/>
      <c r="BO27" s="59"/>
      <c r="BP27" s="59"/>
    </row>
    <row r="28" spans="1:68" ht="15" customHeight="1" x14ac:dyDescent="0.25">
      <c r="A28" s="114"/>
      <c r="B28" s="103" t="s">
        <v>38</v>
      </c>
      <c r="C28" s="103">
        <v>9414</v>
      </c>
      <c r="D28" s="104" t="s">
        <v>124</v>
      </c>
      <c r="E28" s="104" t="s">
        <v>125</v>
      </c>
      <c r="F28" s="104"/>
      <c r="G28" s="126" t="s">
        <v>17</v>
      </c>
      <c r="H28" s="189"/>
      <c r="I28" s="191"/>
      <c r="J28" s="105" t="s">
        <v>126</v>
      </c>
      <c r="K28" s="104" t="s">
        <v>127</v>
      </c>
      <c r="L28" s="104">
        <v>370</v>
      </c>
      <c r="M28" s="106">
        <v>0.04</v>
      </c>
      <c r="N28" s="104"/>
      <c r="O28" s="104">
        <v>500</v>
      </c>
      <c r="P28" s="107">
        <f>O28*M28</f>
        <v>20</v>
      </c>
      <c r="Q28" s="104"/>
      <c r="R28" s="108" t="s">
        <v>65</v>
      </c>
      <c r="S28" s="104">
        <v>295</v>
      </c>
      <c r="T28" s="109">
        <v>1</v>
      </c>
      <c r="U28" s="110">
        <f>S28*T28</f>
        <v>295</v>
      </c>
      <c r="V28" s="104">
        <v>75</v>
      </c>
      <c r="W28" s="103"/>
      <c r="X28" s="103"/>
      <c r="Y28" s="103">
        <v>190</v>
      </c>
      <c r="Z28" s="104">
        <v>0</v>
      </c>
      <c r="AA28" s="104">
        <v>10</v>
      </c>
      <c r="AB28" s="104"/>
      <c r="AC28" s="104"/>
      <c r="AD28" s="104"/>
      <c r="AE28" s="110">
        <f>SUM(U28:AD28)</f>
        <v>570</v>
      </c>
      <c r="AF28" s="110">
        <f>ROUND(AE28*10%,0)</f>
        <v>57</v>
      </c>
      <c r="AG28" s="110">
        <v>0</v>
      </c>
      <c r="AH28" s="110">
        <v>0</v>
      </c>
      <c r="AI28" s="110">
        <v>0</v>
      </c>
      <c r="AJ28" s="110"/>
      <c r="AK28" s="111">
        <f>SUM(AE28:AI28)</f>
        <v>627</v>
      </c>
      <c r="AL28" s="110">
        <f>ROUND(M28*AK28,0)</f>
        <v>25</v>
      </c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19"/>
      <c r="BH28" s="119"/>
      <c r="BI28" s="119"/>
      <c r="BJ28" s="119"/>
      <c r="BK28" s="119"/>
      <c r="BL28" s="119"/>
      <c r="BM28" s="120"/>
      <c r="BN28" s="42"/>
      <c r="BO28" s="59"/>
      <c r="BP28" s="59"/>
    </row>
    <row r="29" spans="1:68" ht="15" customHeight="1" x14ac:dyDescent="0.25">
      <c r="A29" s="123"/>
      <c r="B29" s="44"/>
      <c r="C29" s="44"/>
      <c r="D29" s="18"/>
      <c r="E29" s="18"/>
      <c r="F29" s="18"/>
      <c r="G29" s="44"/>
      <c r="H29" s="44"/>
      <c r="I29" s="44"/>
      <c r="J29" s="97"/>
      <c r="K29" s="44"/>
      <c r="L29" s="18"/>
      <c r="M29" s="18"/>
      <c r="N29" s="18"/>
      <c r="O29" s="18"/>
      <c r="P29" s="98"/>
      <c r="Q29" s="18"/>
      <c r="S29" s="27"/>
      <c r="T29" s="27"/>
      <c r="U29" s="27"/>
      <c r="V29" s="27"/>
      <c r="W29" s="44"/>
      <c r="X29" s="44"/>
      <c r="Y29" s="44"/>
      <c r="Z29" s="27"/>
      <c r="AA29" s="27"/>
      <c r="AB29" s="27"/>
      <c r="AC29" s="27"/>
      <c r="AD29" s="27"/>
      <c r="AE29" s="25"/>
      <c r="AF29" s="25"/>
      <c r="AG29" s="25"/>
      <c r="AH29" s="25"/>
      <c r="AI29" s="25"/>
      <c r="AJ29" s="25"/>
      <c r="AK29" s="31"/>
      <c r="AL29" s="25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00"/>
      <c r="BH29" s="100"/>
      <c r="BI29" s="100"/>
      <c r="BJ29" s="100"/>
      <c r="BK29" s="100"/>
      <c r="BL29" s="100"/>
      <c r="BM29" s="101"/>
      <c r="BN29" s="42"/>
    </row>
    <row r="30" spans="1:68" x14ac:dyDescent="0.25">
      <c r="A30" s="135">
        <v>8</v>
      </c>
      <c r="B30" s="82" t="s">
        <v>38</v>
      </c>
      <c r="C30" s="82">
        <v>9414</v>
      </c>
      <c r="D30" s="116" t="s">
        <v>104</v>
      </c>
      <c r="E30" s="116" t="s">
        <v>105</v>
      </c>
      <c r="F30" s="116" t="s">
        <v>80</v>
      </c>
      <c r="G30" s="83" t="s">
        <v>40</v>
      </c>
      <c r="H30" s="185" t="s">
        <v>96</v>
      </c>
      <c r="I30" s="190" t="s">
        <v>39</v>
      </c>
      <c r="J30" s="84" t="s">
        <v>99</v>
      </c>
      <c r="K30" s="83" t="s">
        <v>83</v>
      </c>
      <c r="L30" s="83">
        <v>280</v>
      </c>
      <c r="M30" s="85">
        <v>0.3</v>
      </c>
      <c r="N30" s="116"/>
      <c r="O30" s="83">
        <v>500</v>
      </c>
      <c r="P30" s="86">
        <f>O30*M30</f>
        <v>150</v>
      </c>
      <c r="Q30" s="86"/>
      <c r="R30" s="87" t="s">
        <v>64</v>
      </c>
      <c r="S30" s="83">
        <v>317</v>
      </c>
      <c r="T30" s="88">
        <v>0.7</v>
      </c>
      <c r="U30" s="89">
        <f>S30*T30</f>
        <v>221.89999999999998</v>
      </c>
      <c r="V30" s="83">
        <v>25</v>
      </c>
      <c r="W30" s="82"/>
      <c r="X30" s="82"/>
      <c r="Y30" s="82">
        <v>190</v>
      </c>
      <c r="Z30" s="83">
        <v>12</v>
      </c>
      <c r="AA30" s="90">
        <v>15</v>
      </c>
      <c r="AB30" s="90">
        <v>15</v>
      </c>
      <c r="AC30" s="83"/>
      <c r="AD30" s="83"/>
      <c r="AE30" s="89">
        <f>SUM(U30:AD31)</f>
        <v>567.4</v>
      </c>
      <c r="AF30" s="89">
        <f>ROUND(AE30*10%,0)</f>
        <v>57</v>
      </c>
      <c r="AG30" s="89">
        <v>0</v>
      </c>
      <c r="AH30" s="89">
        <v>0</v>
      </c>
      <c r="AI30" s="89">
        <v>0</v>
      </c>
      <c r="AJ30" s="89"/>
      <c r="AK30" s="91">
        <f>SUM(AE30:AI30)</f>
        <v>624.4</v>
      </c>
      <c r="AL30" s="89">
        <f>ROUND(M30*AK30,0)</f>
        <v>187</v>
      </c>
      <c r="AM30" s="83">
        <v>67</v>
      </c>
      <c r="AN30" s="83">
        <v>18</v>
      </c>
      <c r="AO30" s="83">
        <v>3</v>
      </c>
      <c r="AP30" s="83">
        <v>3</v>
      </c>
      <c r="AQ30" s="83">
        <v>0</v>
      </c>
      <c r="AR30" s="83">
        <v>0</v>
      </c>
      <c r="AS30" s="83"/>
      <c r="AT30" s="83">
        <v>60</v>
      </c>
      <c r="AU30" s="83">
        <v>0</v>
      </c>
      <c r="AV30" s="83">
        <v>0</v>
      </c>
      <c r="AW30" s="83">
        <v>2</v>
      </c>
      <c r="AX30" s="83">
        <v>0</v>
      </c>
      <c r="AY30" s="83">
        <v>0</v>
      </c>
      <c r="AZ30" s="83">
        <v>70</v>
      </c>
      <c r="BA30" s="83">
        <v>0</v>
      </c>
      <c r="BB30" s="83">
        <v>0</v>
      </c>
      <c r="BC30" s="83">
        <v>0</v>
      </c>
      <c r="BD30" s="83">
        <v>0</v>
      </c>
      <c r="BE30" s="83">
        <v>0</v>
      </c>
      <c r="BF30" s="83">
        <v>0</v>
      </c>
      <c r="BG30" s="92">
        <f>SUM(AL30:BF32)</f>
        <v>463</v>
      </c>
      <c r="BH30" s="93">
        <v>0.03</v>
      </c>
      <c r="BI30" s="92">
        <f>BG30*BH30+BG30</f>
        <v>476.89</v>
      </c>
      <c r="BJ30" s="93">
        <v>0.09</v>
      </c>
      <c r="BK30" s="92">
        <f>BI30*BJ30+BI30</f>
        <v>519.81010000000003</v>
      </c>
      <c r="BL30" s="92">
        <v>92</v>
      </c>
      <c r="BM30" s="95">
        <f>BK30/BL30</f>
        <v>5.6501097826086957</v>
      </c>
      <c r="BN30" s="42"/>
      <c r="BO30" s="73">
        <v>5.65</v>
      </c>
    </row>
    <row r="31" spans="1:68" ht="15" customHeight="1" x14ac:dyDescent="0.25">
      <c r="A31" s="136"/>
      <c r="B31" s="78"/>
      <c r="C31" s="78"/>
      <c r="D31" s="27"/>
      <c r="E31" s="27"/>
      <c r="F31" s="27"/>
      <c r="G31" s="78"/>
      <c r="H31" s="186"/>
      <c r="I31" s="192"/>
      <c r="J31" s="131"/>
      <c r="K31" s="78"/>
      <c r="L31" s="27"/>
      <c r="M31" s="98"/>
      <c r="N31" s="27"/>
      <c r="O31" s="27"/>
      <c r="P31" s="98"/>
      <c r="Q31" s="98"/>
      <c r="R31" s="21" t="s">
        <v>65</v>
      </c>
      <c r="S31" s="18">
        <v>295</v>
      </c>
      <c r="T31" s="40">
        <v>0.3</v>
      </c>
      <c r="U31" s="25">
        <f>S31*T31</f>
        <v>88.5</v>
      </c>
      <c r="W31" s="44"/>
      <c r="X31" s="44"/>
      <c r="Y31" s="44"/>
      <c r="AL31" s="25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99"/>
      <c r="BH31" s="100"/>
      <c r="BI31" s="99"/>
      <c r="BJ31" s="100"/>
      <c r="BK31" s="99"/>
      <c r="BL31" s="99"/>
      <c r="BM31" s="101"/>
      <c r="BN31" s="42"/>
    </row>
    <row r="32" spans="1:68" x14ac:dyDescent="0.25">
      <c r="A32" s="137"/>
      <c r="B32" s="103" t="s">
        <v>38</v>
      </c>
      <c r="C32" s="103">
        <v>9414</v>
      </c>
      <c r="D32" s="125" t="s">
        <v>104</v>
      </c>
      <c r="E32" s="125" t="s">
        <v>105</v>
      </c>
      <c r="F32" s="104" t="s">
        <v>103</v>
      </c>
      <c r="G32" s="126" t="s">
        <v>17</v>
      </c>
      <c r="H32" s="200"/>
      <c r="I32" s="191"/>
      <c r="J32" s="133" t="s">
        <v>100</v>
      </c>
      <c r="K32" s="104" t="s">
        <v>89</v>
      </c>
      <c r="L32" s="104">
        <v>370</v>
      </c>
      <c r="M32" s="104">
        <v>8.5000000000000006E-2</v>
      </c>
      <c r="N32" s="125"/>
      <c r="O32" s="104">
        <v>500</v>
      </c>
      <c r="P32" s="107">
        <f>O32*M32</f>
        <v>42.5</v>
      </c>
      <c r="Q32" s="107"/>
      <c r="R32" s="108" t="s">
        <v>65</v>
      </c>
      <c r="S32" s="104">
        <v>295</v>
      </c>
      <c r="T32" s="109">
        <v>1</v>
      </c>
      <c r="U32" s="110">
        <f>S32*T32</f>
        <v>295</v>
      </c>
      <c r="V32" s="104">
        <v>75</v>
      </c>
      <c r="W32" s="103"/>
      <c r="X32" s="103"/>
      <c r="Y32" s="104">
        <v>190</v>
      </c>
      <c r="Z32" s="104">
        <v>0</v>
      </c>
      <c r="AA32" s="104">
        <v>10</v>
      </c>
      <c r="AB32" s="104"/>
      <c r="AC32" s="104"/>
      <c r="AD32" s="104"/>
      <c r="AE32" s="110">
        <f>SUM(U32:AD32)</f>
        <v>570</v>
      </c>
      <c r="AF32" s="110">
        <f>ROUND(AE32*10%,0)</f>
        <v>57</v>
      </c>
      <c r="AG32" s="110">
        <v>0</v>
      </c>
      <c r="AH32" s="110">
        <v>0</v>
      </c>
      <c r="AI32" s="110">
        <v>0</v>
      </c>
      <c r="AJ32" s="110"/>
      <c r="AK32" s="111">
        <f>SUM(AE32:AI32)</f>
        <v>627</v>
      </c>
      <c r="AL32" s="110">
        <f>ROUND(M32*AK32,0)</f>
        <v>53</v>
      </c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28"/>
      <c r="BH32" s="119"/>
      <c r="BI32" s="128"/>
      <c r="BJ32" s="119"/>
      <c r="BK32" s="128"/>
      <c r="BL32" s="128"/>
      <c r="BM32" s="120"/>
      <c r="BN32" s="42"/>
    </row>
    <row r="33" spans="1:68" ht="15" customHeight="1" x14ac:dyDescent="0.25">
      <c r="A33" s="123"/>
      <c r="B33" s="44"/>
      <c r="C33" s="44"/>
      <c r="D33" s="18"/>
      <c r="E33" s="18"/>
      <c r="F33" s="18"/>
      <c r="G33" s="18"/>
      <c r="H33" s="18"/>
      <c r="I33" s="18"/>
      <c r="J33" s="97"/>
      <c r="K33" s="18"/>
      <c r="L33" s="18"/>
      <c r="M33" s="18"/>
      <c r="N33" s="18"/>
      <c r="O33" s="18"/>
      <c r="P33" s="18"/>
      <c r="Q33" s="18"/>
      <c r="W33" s="44"/>
      <c r="X33" s="44"/>
      <c r="Y33" s="44"/>
      <c r="AL33" s="29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60"/>
      <c r="BK33" s="18"/>
      <c r="BL33" s="18"/>
      <c r="BM33" s="161"/>
      <c r="BN33" s="75"/>
    </row>
    <row r="34" spans="1:68" x14ac:dyDescent="0.25">
      <c r="A34" s="115">
        <v>9</v>
      </c>
      <c r="B34" s="82" t="s">
        <v>38</v>
      </c>
      <c r="C34" s="82">
        <v>9414</v>
      </c>
      <c r="D34" s="83" t="s">
        <v>128</v>
      </c>
      <c r="E34" s="83" t="s">
        <v>129</v>
      </c>
      <c r="F34" s="83" t="s">
        <v>80</v>
      </c>
      <c r="G34" s="83" t="s">
        <v>40</v>
      </c>
      <c r="H34" s="187" t="s">
        <v>165</v>
      </c>
      <c r="I34" s="190" t="s">
        <v>39</v>
      </c>
      <c r="J34" s="84" t="s">
        <v>99</v>
      </c>
      <c r="K34" s="83" t="s">
        <v>83</v>
      </c>
      <c r="L34" s="83">
        <v>280</v>
      </c>
      <c r="M34" s="85">
        <v>0.35</v>
      </c>
      <c r="N34" s="83"/>
      <c r="O34" s="83">
        <v>500</v>
      </c>
      <c r="P34" s="86">
        <f>O34*M34</f>
        <v>175</v>
      </c>
      <c r="Q34" s="83"/>
      <c r="R34" s="87" t="s">
        <v>64</v>
      </c>
      <c r="S34" s="83">
        <v>317</v>
      </c>
      <c r="T34" s="88">
        <v>0.7</v>
      </c>
      <c r="U34" s="89">
        <f>S34*T34</f>
        <v>221.89999999999998</v>
      </c>
      <c r="V34" s="83">
        <v>25</v>
      </c>
      <c r="W34" s="82"/>
      <c r="X34" s="82"/>
      <c r="Y34" s="82">
        <v>130</v>
      </c>
      <c r="Z34" s="83">
        <v>12</v>
      </c>
      <c r="AA34" s="90">
        <v>15</v>
      </c>
      <c r="AB34" s="90">
        <v>15</v>
      </c>
      <c r="AC34" s="90"/>
      <c r="AD34" s="83"/>
      <c r="AE34" s="89">
        <f>SUM(U34:AD35)</f>
        <v>507.4</v>
      </c>
      <c r="AF34" s="89">
        <f>ROUND(AE34*10%,0)</f>
        <v>51</v>
      </c>
      <c r="AG34" s="89">
        <v>0</v>
      </c>
      <c r="AH34" s="89">
        <v>0</v>
      </c>
      <c r="AI34" s="89">
        <v>0</v>
      </c>
      <c r="AJ34" s="89"/>
      <c r="AK34" s="91">
        <f>SUM(AE34:AI34)</f>
        <v>558.4</v>
      </c>
      <c r="AL34" s="89">
        <f>ROUND(M34*AK34,0)</f>
        <v>195</v>
      </c>
      <c r="AM34" s="83">
        <v>58</v>
      </c>
      <c r="AN34" s="83">
        <v>18</v>
      </c>
      <c r="AO34" s="83">
        <v>3</v>
      </c>
      <c r="AP34" s="83">
        <v>3</v>
      </c>
      <c r="AQ34" s="83">
        <v>0</v>
      </c>
      <c r="AR34" s="83">
        <v>0</v>
      </c>
      <c r="AS34" s="83">
        <v>0</v>
      </c>
      <c r="AT34" s="83"/>
      <c r="AU34" s="83"/>
      <c r="AV34" s="83"/>
      <c r="AW34" s="83">
        <v>1</v>
      </c>
      <c r="AX34" s="83">
        <v>0</v>
      </c>
      <c r="AY34" s="83">
        <v>0</v>
      </c>
      <c r="AZ34" s="83">
        <v>15</v>
      </c>
      <c r="BA34" s="83">
        <v>45</v>
      </c>
      <c r="BB34" s="83">
        <v>0</v>
      </c>
      <c r="BC34" s="83">
        <v>0</v>
      </c>
      <c r="BD34" s="83">
        <v>0</v>
      </c>
      <c r="BE34" s="83">
        <v>0</v>
      </c>
      <c r="BF34" s="83">
        <v>0</v>
      </c>
      <c r="BG34" s="92">
        <f>SUM(AL34:BF37)</f>
        <v>400</v>
      </c>
      <c r="BH34" s="93">
        <v>0.03</v>
      </c>
      <c r="BI34" s="92">
        <f>BG34*BH34+BG34</f>
        <v>412</v>
      </c>
      <c r="BJ34" s="93">
        <v>0.08</v>
      </c>
      <c r="BK34" s="92">
        <f>BI34*BJ34+BI34</f>
        <v>444.96</v>
      </c>
      <c r="BL34" s="92">
        <v>92</v>
      </c>
      <c r="BM34" s="95">
        <f>BK34/BL34</f>
        <v>4.8365217391304345</v>
      </c>
      <c r="BN34" s="42"/>
      <c r="BO34" s="59">
        <v>4.8499999999999996</v>
      </c>
      <c r="BP34" s="59"/>
    </row>
    <row r="35" spans="1:68" ht="15" customHeight="1" x14ac:dyDescent="0.25">
      <c r="A35" s="123"/>
      <c r="B35" s="44"/>
      <c r="C35" s="44"/>
      <c r="D35" s="18"/>
      <c r="E35" s="18"/>
      <c r="F35" s="18"/>
      <c r="G35" s="18"/>
      <c r="H35" s="188"/>
      <c r="I35" s="192"/>
      <c r="J35" s="97"/>
      <c r="K35" s="18"/>
      <c r="L35" s="18"/>
      <c r="M35" s="18"/>
      <c r="N35" s="18"/>
      <c r="O35" s="18"/>
      <c r="P35" s="98"/>
      <c r="Q35" s="18"/>
      <c r="R35" s="21" t="s">
        <v>65</v>
      </c>
      <c r="S35" s="18">
        <v>295</v>
      </c>
      <c r="T35" s="40">
        <v>0.3</v>
      </c>
      <c r="U35" s="25">
        <f>S35*T35</f>
        <v>88.5</v>
      </c>
      <c r="W35" s="44"/>
      <c r="X35" s="44"/>
      <c r="Y35" s="44"/>
      <c r="AL35" s="25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99"/>
      <c r="BH35" s="100"/>
      <c r="BI35" s="99"/>
      <c r="BJ35" s="100"/>
      <c r="BK35" s="99"/>
      <c r="BL35" s="99"/>
      <c r="BM35" s="101"/>
      <c r="BN35" s="42"/>
      <c r="BO35" s="59"/>
      <c r="BP35" s="59"/>
    </row>
    <row r="36" spans="1:68" x14ac:dyDescent="0.25">
      <c r="A36" s="123"/>
      <c r="B36" s="44" t="s">
        <v>38</v>
      </c>
      <c r="C36" s="44">
        <v>9414</v>
      </c>
      <c r="D36" s="18" t="s">
        <v>128</v>
      </c>
      <c r="E36" s="18" t="s">
        <v>129</v>
      </c>
      <c r="F36" s="18" t="s">
        <v>103</v>
      </c>
      <c r="G36" s="18" t="s">
        <v>17</v>
      </c>
      <c r="H36" s="188"/>
      <c r="I36" s="192"/>
      <c r="J36" s="97" t="s">
        <v>126</v>
      </c>
      <c r="K36" s="18" t="s">
        <v>127</v>
      </c>
      <c r="L36" s="18">
        <v>370</v>
      </c>
      <c r="M36" s="134">
        <v>0.06</v>
      </c>
      <c r="N36" s="18"/>
      <c r="O36" s="18">
        <v>500</v>
      </c>
      <c r="P36" s="98">
        <f>O36*M36</f>
        <v>30</v>
      </c>
      <c r="Q36" s="18"/>
      <c r="R36" s="21" t="s">
        <v>65</v>
      </c>
      <c r="S36" s="18">
        <v>295</v>
      </c>
      <c r="T36" s="40">
        <v>1</v>
      </c>
      <c r="U36" s="25">
        <f>S36*T36</f>
        <v>295</v>
      </c>
      <c r="V36" s="18">
        <v>75</v>
      </c>
      <c r="W36" s="44"/>
      <c r="X36" s="44"/>
      <c r="Y36" s="44">
        <v>130</v>
      </c>
      <c r="Z36" s="18">
        <v>0</v>
      </c>
      <c r="AA36" s="18">
        <v>10</v>
      </c>
      <c r="AE36" s="25">
        <f>SUM(U36:AD36)</f>
        <v>510</v>
      </c>
      <c r="AF36" s="25">
        <f>ROUND(AE36*10%,0)</f>
        <v>51</v>
      </c>
      <c r="AG36" s="25">
        <v>0</v>
      </c>
      <c r="AH36" s="25">
        <v>0</v>
      </c>
      <c r="AI36" s="25">
        <v>0</v>
      </c>
      <c r="AJ36" s="25"/>
      <c r="AK36" s="26">
        <f>SUM(AE36:AI36)</f>
        <v>561</v>
      </c>
      <c r="AL36" s="25">
        <f>ROUND(M36*AK36,0)</f>
        <v>34</v>
      </c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00"/>
      <c r="BH36" s="100"/>
      <c r="BI36" s="100"/>
      <c r="BJ36" s="100"/>
      <c r="BK36" s="100"/>
      <c r="BL36" s="100"/>
      <c r="BM36" s="101"/>
      <c r="BN36" s="42"/>
      <c r="BO36" s="59"/>
      <c r="BP36" s="59"/>
    </row>
    <row r="37" spans="1:68" x14ac:dyDescent="0.25">
      <c r="A37" s="114"/>
      <c r="B37" s="103" t="s">
        <v>38</v>
      </c>
      <c r="C37" s="103">
        <v>9414</v>
      </c>
      <c r="D37" s="104" t="s">
        <v>128</v>
      </c>
      <c r="E37" s="104" t="s">
        <v>129</v>
      </c>
      <c r="F37" s="104" t="s">
        <v>130</v>
      </c>
      <c r="G37" s="104" t="s">
        <v>97</v>
      </c>
      <c r="H37" s="189"/>
      <c r="I37" s="191"/>
      <c r="J37" s="105" t="s">
        <v>18</v>
      </c>
      <c r="K37" s="104" t="s">
        <v>83</v>
      </c>
      <c r="L37" s="104">
        <v>200</v>
      </c>
      <c r="M37" s="106">
        <v>5.5E-2</v>
      </c>
      <c r="N37" s="104"/>
      <c r="O37" s="104">
        <v>500</v>
      </c>
      <c r="P37" s="107">
        <f>O37*M37</f>
        <v>27.5</v>
      </c>
      <c r="Q37" s="104"/>
      <c r="R37" s="108" t="s">
        <v>131</v>
      </c>
      <c r="S37" s="125">
        <v>300</v>
      </c>
      <c r="T37" s="138">
        <v>1</v>
      </c>
      <c r="U37" s="138">
        <f>S37*T37</f>
        <v>300</v>
      </c>
      <c r="V37" s="125">
        <v>15</v>
      </c>
      <c r="W37" s="103"/>
      <c r="X37" s="103"/>
      <c r="Y37" s="103">
        <v>130</v>
      </c>
      <c r="Z37" s="125">
        <v>12</v>
      </c>
      <c r="AA37" s="126">
        <v>12</v>
      </c>
      <c r="AB37" s="104"/>
      <c r="AC37" s="104"/>
      <c r="AD37" s="104"/>
      <c r="AE37" s="110">
        <f>SUM(U37:AD37)</f>
        <v>469</v>
      </c>
      <c r="AF37" s="110">
        <f>ROUND(AE37*10%,0)</f>
        <v>47</v>
      </c>
      <c r="AG37" s="110">
        <v>0</v>
      </c>
      <c r="AH37" s="110">
        <v>0</v>
      </c>
      <c r="AI37" s="110">
        <v>0</v>
      </c>
      <c r="AJ37" s="110"/>
      <c r="AK37" s="111">
        <f>SUM(AE37:AI37)</f>
        <v>516</v>
      </c>
      <c r="AL37" s="110">
        <f>ROUND(M37*AK37,0)</f>
        <v>28</v>
      </c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39"/>
      <c r="BI37" s="104"/>
      <c r="BJ37" s="139"/>
      <c r="BK37" s="104"/>
      <c r="BL37" s="104"/>
      <c r="BM37" s="140"/>
      <c r="BN37" s="75"/>
      <c r="BO37" s="59"/>
      <c r="BP37" s="59"/>
    </row>
    <row r="38" spans="1:68" x14ac:dyDescent="0.25">
      <c r="A38" s="96"/>
      <c r="B38" s="44"/>
      <c r="C38" s="44"/>
      <c r="D38" s="18"/>
      <c r="E38" s="18"/>
      <c r="F38" s="18"/>
      <c r="G38" s="78"/>
      <c r="H38" s="165"/>
      <c r="I38" s="18"/>
      <c r="J38" s="131"/>
      <c r="K38" s="18"/>
      <c r="L38" s="18"/>
      <c r="M38" s="18"/>
      <c r="N38" s="18"/>
      <c r="O38" s="18"/>
      <c r="P38" s="98"/>
      <c r="Q38" s="98"/>
      <c r="T38" s="40"/>
      <c r="U38" s="25"/>
      <c r="W38" s="44"/>
      <c r="X38" s="44"/>
      <c r="AE38" s="25"/>
      <c r="AF38" s="25"/>
      <c r="AG38" s="25"/>
      <c r="AH38" s="25"/>
      <c r="AI38" s="25"/>
      <c r="AJ38" s="25"/>
      <c r="AK38" s="26"/>
      <c r="AL38" s="25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99"/>
      <c r="BH38" s="100"/>
      <c r="BI38" s="99"/>
      <c r="BJ38" s="100"/>
      <c r="BK38" s="99"/>
      <c r="BL38" s="99"/>
      <c r="BM38" s="101"/>
      <c r="BN38" s="42"/>
    </row>
    <row r="39" spans="1:68" ht="15" customHeight="1" x14ac:dyDescent="0.25">
      <c r="A39" s="115">
        <v>10</v>
      </c>
      <c r="B39" s="82" t="s">
        <v>38</v>
      </c>
      <c r="C39" s="82">
        <v>9414</v>
      </c>
      <c r="D39" s="83" t="s">
        <v>132</v>
      </c>
      <c r="E39" s="83" t="s">
        <v>133</v>
      </c>
      <c r="F39" s="83" t="s">
        <v>80</v>
      </c>
      <c r="G39" s="83" t="s">
        <v>40</v>
      </c>
      <c r="H39" s="187" t="s">
        <v>206</v>
      </c>
      <c r="I39" s="193" t="s">
        <v>39</v>
      </c>
      <c r="J39" s="84" t="s">
        <v>99</v>
      </c>
      <c r="K39" s="83" t="s">
        <v>83</v>
      </c>
      <c r="L39" s="83">
        <v>280</v>
      </c>
      <c r="M39" s="83">
        <v>0.255</v>
      </c>
      <c r="N39" s="83"/>
      <c r="O39" s="83">
        <v>500</v>
      </c>
      <c r="P39" s="86">
        <f>O39*M39</f>
        <v>127.5</v>
      </c>
      <c r="Q39" s="83"/>
      <c r="R39" s="87" t="s">
        <v>64</v>
      </c>
      <c r="S39" s="83">
        <v>317</v>
      </c>
      <c r="T39" s="88">
        <v>0.7</v>
      </c>
      <c r="U39" s="89">
        <f>S39*T39</f>
        <v>221.89999999999998</v>
      </c>
      <c r="V39" s="83">
        <v>25</v>
      </c>
      <c r="W39" s="82"/>
      <c r="X39" s="82"/>
      <c r="Y39" s="82">
        <v>190</v>
      </c>
      <c r="Z39" s="83">
        <v>12</v>
      </c>
      <c r="AA39" s="90">
        <v>15</v>
      </c>
      <c r="AB39" s="90">
        <v>15</v>
      </c>
      <c r="AC39" s="90"/>
      <c r="AD39" s="83"/>
      <c r="AE39" s="89">
        <f>SUM(U39:AD40)</f>
        <v>567.4</v>
      </c>
      <c r="AF39" s="89">
        <f>ROUND(AE39*10%,0)</f>
        <v>57</v>
      </c>
      <c r="AG39" s="89">
        <v>0</v>
      </c>
      <c r="AH39" s="89">
        <v>0</v>
      </c>
      <c r="AI39" s="89">
        <v>0</v>
      </c>
      <c r="AJ39" s="89"/>
      <c r="AK39" s="91">
        <f>SUM(AE39:AI39)</f>
        <v>624.4</v>
      </c>
      <c r="AL39" s="89">
        <f>ROUND(M39*AK39,0)</f>
        <v>159</v>
      </c>
      <c r="AM39" s="83">
        <v>45</v>
      </c>
      <c r="AN39" s="83">
        <v>18</v>
      </c>
      <c r="AO39" s="83">
        <v>3</v>
      </c>
      <c r="AP39" s="83">
        <v>3</v>
      </c>
      <c r="AQ39" s="83">
        <v>0</v>
      </c>
      <c r="AR39" s="83">
        <v>0</v>
      </c>
      <c r="AS39" s="83">
        <v>0</v>
      </c>
      <c r="AT39" s="83"/>
      <c r="AU39" s="83"/>
      <c r="AV39" s="83"/>
      <c r="AW39" s="83">
        <v>1</v>
      </c>
      <c r="AX39" s="83">
        <v>0</v>
      </c>
      <c r="AY39" s="83">
        <v>0</v>
      </c>
      <c r="AZ39" s="83">
        <v>15</v>
      </c>
      <c r="BA39" s="83">
        <v>45</v>
      </c>
      <c r="BB39" s="83">
        <v>0</v>
      </c>
      <c r="BC39" s="83">
        <v>0</v>
      </c>
      <c r="BD39" s="83">
        <v>0</v>
      </c>
      <c r="BE39" s="83">
        <v>0</v>
      </c>
      <c r="BF39" s="83">
        <v>0</v>
      </c>
      <c r="BG39" s="92">
        <f>SUM(AL39:BF41)</f>
        <v>336</v>
      </c>
      <c r="BH39" s="93">
        <v>0.03</v>
      </c>
      <c r="BI39" s="92">
        <f>BG39*BH39+BG39</f>
        <v>346.08</v>
      </c>
      <c r="BJ39" s="94">
        <v>0.05</v>
      </c>
      <c r="BK39" s="92">
        <f>BI39*BJ39+BI39</f>
        <v>363.38399999999996</v>
      </c>
      <c r="BL39" s="92">
        <v>92</v>
      </c>
      <c r="BM39" s="95">
        <f>BK39/BL39</f>
        <v>3.9498260869565214</v>
      </c>
      <c r="BN39" s="42"/>
      <c r="BO39" s="59">
        <v>3.95</v>
      </c>
      <c r="BP39" s="59"/>
    </row>
    <row r="40" spans="1:68" ht="15" customHeight="1" x14ac:dyDescent="0.25">
      <c r="A40" s="123"/>
      <c r="B40" s="44"/>
      <c r="C40" s="44"/>
      <c r="D40" s="18"/>
      <c r="E40" s="18"/>
      <c r="F40" s="18"/>
      <c r="G40" s="18"/>
      <c r="H40" s="188"/>
      <c r="I40" s="194"/>
      <c r="J40" s="97"/>
      <c r="K40" s="18"/>
      <c r="L40" s="18"/>
      <c r="M40" s="18"/>
      <c r="N40" s="18"/>
      <c r="O40" s="18"/>
      <c r="P40" s="98"/>
      <c r="Q40" s="18"/>
      <c r="R40" s="21" t="s">
        <v>65</v>
      </c>
      <c r="S40" s="18">
        <v>295</v>
      </c>
      <c r="T40" s="40">
        <v>0.3</v>
      </c>
      <c r="U40" s="25">
        <f>S40*T40</f>
        <v>88.5</v>
      </c>
      <c r="W40" s="44"/>
      <c r="X40" s="44"/>
      <c r="Y40" s="44"/>
      <c r="AL40" s="25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99"/>
      <c r="BH40" s="100"/>
      <c r="BI40" s="99"/>
      <c r="BJ40" s="100"/>
      <c r="BK40" s="99"/>
      <c r="BL40" s="99"/>
      <c r="BM40" s="101"/>
      <c r="BN40" s="42"/>
      <c r="BO40" s="59"/>
      <c r="BP40" s="59"/>
    </row>
    <row r="41" spans="1:68" ht="15" customHeight="1" x14ac:dyDescent="0.25">
      <c r="A41" s="114"/>
      <c r="B41" s="103" t="s">
        <v>38</v>
      </c>
      <c r="C41" s="103">
        <v>9414</v>
      </c>
      <c r="D41" s="104" t="s">
        <v>132</v>
      </c>
      <c r="E41" s="104" t="s">
        <v>133</v>
      </c>
      <c r="F41" s="104" t="s">
        <v>103</v>
      </c>
      <c r="G41" s="104" t="s">
        <v>17</v>
      </c>
      <c r="H41" s="189"/>
      <c r="I41" s="195"/>
      <c r="J41" s="105" t="s">
        <v>126</v>
      </c>
      <c r="K41" s="104" t="s">
        <v>127</v>
      </c>
      <c r="L41" s="104">
        <v>370</v>
      </c>
      <c r="M41" s="106">
        <v>7.4999999999999997E-2</v>
      </c>
      <c r="N41" s="104"/>
      <c r="O41" s="104">
        <v>500</v>
      </c>
      <c r="P41" s="107">
        <f>O41*M41</f>
        <v>37.5</v>
      </c>
      <c r="Q41" s="104"/>
      <c r="R41" s="108" t="s">
        <v>65</v>
      </c>
      <c r="S41" s="104">
        <v>295</v>
      </c>
      <c r="T41" s="109">
        <v>1</v>
      </c>
      <c r="U41" s="110">
        <f>S41*T41</f>
        <v>295</v>
      </c>
      <c r="V41" s="104">
        <v>75</v>
      </c>
      <c r="W41" s="103"/>
      <c r="X41" s="103"/>
      <c r="Y41" s="103">
        <v>190</v>
      </c>
      <c r="Z41" s="104">
        <v>0</v>
      </c>
      <c r="AA41" s="104">
        <v>10</v>
      </c>
      <c r="AB41" s="104"/>
      <c r="AC41" s="104"/>
      <c r="AD41" s="104"/>
      <c r="AE41" s="110">
        <f>SUM(U41:AD41)</f>
        <v>570</v>
      </c>
      <c r="AF41" s="110">
        <f>ROUND(AE41*10%,0)</f>
        <v>57</v>
      </c>
      <c r="AG41" s="110">
        <v>0</v>
      </c>
      <c r="AH41" s="110">
        <v>0</v>
      </c>
      <c r="AI41" s="110">
        <v>0</v>
      </c>
      <c r="AJ41" s="110"/>
      <c r="AK41" s="111">
        <f>SUM(AE41:AI41)</f>
        <v>627</v>
      </c>
      <c r="AL41" s="110">
        <f>ROUND(M41*AK41,0)</f>
        <v>47</v>
      </c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19"/>
      <c r="BH41" s="119"/>
      <c r="BI41" s="119"/>
      <c r="BJ41" s="119"/>
      <c r="BK41" s="119"/>
      <c r="BL41" s="119"/>
      <c r="BM41" s="120"/>
      <c r="BN41" s="42"/>
      <c r="BO41" s="59"/>
      <c r="BP41" s="59"/>
    </row>
    <row r="42" spans="1:68" ht="15" customHeight="1" x14ac:dyDescent="0.25">
      <c r="A42" s="136"/>
      <c r="B42" s="78"/>
      <c r="C42" s="78"/>
      <c r="D42" s="27"/>
      <c r="E42" s="27"/>
      <c r="F42" s="27"/>
      <c r="G42" s="78"/>
      <c r="H42" s="166"/>
      <c r="I42" s="78"/>
      <c r="J42" s="97"/>
      <c r="K42" s="18"/>
      <c r="L42" s="27"/>
      <c r="M42" s="27"/>
      <c r="N42" s="27"/>
      <c r="O42" s="27"/>
      <c r="P42" s="98"/>
      <c r="Q42" s="98"/>
      <c r="R42" s="24"/>
      <c r="S42" s="27"/>
      <c r="T42" s="27"/>
      <c r="U42" s="27"/>
      <c r="V42" s="27"/>
      <c r="W42" s="27"/>
      <c r="X42" s="27"/>
      <c r="Y42" s="27"/>
      <c r="Z42" s="27"/>
      <c r="AA42" s="27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67"/>
    </row>
    <row r="43" spans="1:68" ht="15" customHeight="1" x14ac:dyDescent="0.25">
      <c r="A43" s="115">
        <v>11</v>
      </c>
      <c r="B43" s="82" t="s">
        <v>38</v>
      </c>
      <c r="C43" s="82">
        <v>9414</v>
      </c>
      <c r="D43" s="83" t="s">
        <v>134</v>
      </c>
      <c r="E43" s="83" t="s">
        <v>135</v>
      </c>
      <c r="F43" s="83" t="s">
        <v>80</v>
      </c>
      <c r="G43" s="83" t="s">
        <v>40</v>
      </c>
      <c r="H43" s="187" t="s">
        <v>206</v>
      </c>
      <c r="I43" s="190" t="s">
        <v>39</v>
      </c>
      <c r="J43" s="84" t="s">
        <v>99</v>
      </c>
      <c r="K43" s="83" t="s">
        <v>83</v>
      </c>
      <c r="L43" s="83">
        <v>280</v>
      </c>
      <c r="M43" s="85">
        <v>0.3</v>
      </c>
      <c r="N43" s="83"/>
      <c r="O43" s="83">
        <v>500</v>
      </c>
      <c r="P43" s="86">
        <f>O43*M43</f>
        <v>150</v>
      </c>
      <c r="Q43" s="83"/>
      <c r="R43" s="87" t="s">
        <v>64</v>
      </c>
      <c r="S43" s="83">
        <v>317</v>
      </c>
      <c r="T43" s="88">
        <v>0.7</v>
      </c>
      <c r="U43" s="89">
        <f>S43*T43</f>
        <v>221.89999999999998</v>
      </c>
      <c r="V43" s="83">
        <v>25</v>
      </c>
      <c r="W43" s="82"/>
      <c r="X43" s="82"/>
      <c r="Y43" s="82">
        <v>190</v>
      </c>
      <c r="Z43" s="83">
        <v>12</v>
      </c>
      <c r="AA43" s="90">
        <v>13</v>
      </c>
      <c r="AB43" s="90">
        <v>13</v>
      </c>
      <c r="AC43" s="90"/>
      <c r="AD43" s="83"/>
      <c r="AE43" s="89">
        <f>SUM(U43:AD44)</f>
        <v>563.4</v>
      </c>
      <c r="AF43" s="89">
        <f>ROUND(AE43*10%,0)</f>
        <v>56</v>
      </c>
      <c r="AG43" s="89">
        <v>0</v>
      </c>
      <c r="AH43" s="89">
        <v>0</v>
      </c>
      <c r="AI43" s="89">
        <v>0</v>
      </c>
      <c r="AJ43" s="89"/>
      <c r="AK43" s="91">
        <f>SUM(AE43:AI43)</f>
        <v>619.4</v>
      </c>
      <c r="AL43" s="89">
        <f>ROUND(M43*AK43,0)</f>
        <v>186</v>
      </c>
      <c r="AM43" s="83">
        <v>70</v>
      </c>
      <c r="AN43" s="83">
        <v>18</v>
      </c>
      <c r="AO43" s="83">
        <v>3</v>
      </c>
      <c r="AP43" s="83">
        <v>3</v>
      </c>
      <c r="AQ43" s="83">
        <v>0</v>
      </c>
      <c r="AR43" s="83">
        <v>0</v>
      </c>
      <c r="AS43" s="83">
        <v>0</v>
      </c>
      <c r="AT43" s="83">
        <v>50</v>
      </c>
      <c r="AU43" s="83"/>
      <c r="AV43" s="83"/>
      <c r="AW43" s="83">
        <v>2</v>
      </c>
      <c r="AX43" s="83">
        <v>0</v>
      </c>
      <c r="AY43" s="83">
        <v>0</v>
      </c>
      <c r="AZ43" s="83">
        <v>45</v>
      </c>
      <c r="BA43" s="83">
        <v>45</v>
      </c>
      <c r="BB43" s="83">
        <v>0</v>
      </c>
      <c r="BC43" s="83">
        <v>0</v>
      </c>
      <c r="BD43" s="83">
        <v>0</v>
      </c>
      <c r="BE43" s="83">
        <v>0</v>
      </c>
      <c r="BF43" s="83">
        <v>0</v>
      </c>
      <c r="BG43" s="92">
        <f>SUM(AL43:BF46)</f>
        <v>478</v>
      </c>
      <c r="BH43" s="93">
        <v>0.03</v>
      </c>
      <c r="BI43" s="92">
        <f>BG43*BH43+BG43</f>
        <v>492.34</v>
      </c>
      <c r="BJ43" s="93">
        <v>0.06</v>
      </c>
      <c r="BK43" s="92">
        <f>BI43*BJ43+BI43</f>
        <v>521.88040000000001</v>
      </c>
      <c r="BL43" s="92">
        <v>92</v>
      </c>
      <c r="BM43" s="95">
        <f>BK43/BL43</f>
        <v>5.6726130434782611</v>
      </c>
      <c r="BN43" s="42"/>
      <c r="BO43" s="59">
        <v>5.65</v>
      </c>
      <c r="BP43" s="59"/>
    </row>
    <row r="44" spans="1:68" ht="15" customHeight="1" x14ac:dyDescent="0.25">
      <c r="A44" s="123"/>
      <c r="B44" s="44"/>
      <c r="C44" s="44"/>
      <c r="D44" s="18"/>
      <c r="E44" s="18"/>
      <c r="F44" s="18"/>
      <c r="G44" s="18"/>
      <c r="H44" s="188"/>
      <c r="I44" s="192"/>
      <c r="J44" s="97"/>
      <c r="K44" s="18"/>
      <c r="L44" s="18"/>
      <c r="M44" s="18"/>
      <c r="N44" s="18"/>
      <c r="O44" s="18"/>
      <c r="P44" s="98"/>
      <c r="Q44" s="18"/>
      <c r="R44" s="21" t="s">
        <v>65</v>
      </c>
      <c r="S44" s="18">
        <v>295</v>
      </c>
      <c r="T44" s="40">
        <v>0.3</v>
      </c>
      <c r="U44" s="25">
        <f>S44*T44</f>
        <v>88.5</v>
      </c>
      <c r="W44" s="44"/>
      <c r="X44" s="44"/>
      <c r="Y44" s="44"/>
      <c r="AL44" s="25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99"/>
      <c r="BH44" s="100"/>
      <c r="BI44" s="99"/>
      <c r="BJ44" s="100"/>
      <c r="BK44" s="99"/>
      <c r="BL44" s="99"/>
      <c r="BM44" s="101"/>
      <c r="BN44" s="42"/>
      <c r="BO44" s="59"/>
      <c r="BP44" s="59"/>
    </row>
    <row r="45" spans="1:68" ht="18.75" customHeight="1" x14ac:dyDescent="0.25">
      <c r="A45" s="114"/>
      <c r="B45" s="103" t="s">
        <v>38</v>
      </c>
      <c r="C45" s="103">
        <v>9414</v>
      </c>
      <c r="D45" s="104" t="s">
        <v>134</v>
      </c>
      <c r="E45" s="104" t="s">
        <v>135</v>
      </c>
      <c r="F45" s="104" t="s">
        <v>103</v>
      </c>
      <c r="G45" s="104" t="s">
        <v>17</v>
      </c>
      <c r="H45" s="189"/>
      <c r="I45" s="191"/>
      <c r="J45" s="105" t="s">
        <v>126</v>
      </c>
      <c r="K45" s="104" t="s">
        <v>127</v>
      </c>
      <c r="L45" s="104">
        <v>370</v>
      </c>
      <c r="M45" s="106">
        <v>0.09</v>
      </c>
      <c r="N45" s="104"/>
      <c r="O45" s="104">
        <v>500</v>
      </c>
      <c r="P45" s="107">
        <f>O45*M45</f>
        <v>45</v>
      </c>
      <c r="Q45" s="104"/>
      <c r="R45" s="108" t="s">
        <v>65</v>
      </c>
      <c r="S45" s="104">
        <v>295</v>
      </c>
      <c r="T45" s="109">
        <v>1</v>
      </c>
      <c r="U45" s="110">
        <f>S45*T45</f>
        <v>295</v>
      </c>
      <c r="V45" s="104">
        <v>75</v>
      </c>
      <c r="W45" s="103"/>
      <c r="X45" s="103"/>
      <c r="Y45" s="103">
        <v>190</v>
      </c>
      <c r="Z45" s="104">
        <v>0</v>
      </c>
      <c r="AA45" s="104">
        <v>10</v>
      </c>
      <c r="AB45" s="104"/>
      <c r="AC45" s="104"/>
      <c r="AD45" s="104"/>
      <c r="AE45" s="110">
        <f>SUM(U45:AD45)</f>
        <v>570</v>
      </c>
      <c r="AF45" s="110">
        <f>ROUND(AE45*10%,0)</f>
        <v>57</v>
      </c>
      <c r="AG45" s="110">
        <v>0</v>
      </c>
      <c r="AH45" s="110">
        <v>0</v>
      </c>
      <c r="AI45" s="110">
        <v>0</v>
      </c>
      <c r="AJ45" s="110"/>
      <c r="AK45" s="111">
        <f>SUM(AE45:AI45)</f>
        <v>627</v>
      </c>
      <c r="AL45" s="110">
        <f>ROUND(M45*AK45,0)</f>
        <v>56</v>
      </c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19"/>
      <c r="BH45" s="119"/>
      <c r="BI45" s="119"/>
      <c r="BJ45" s="119"/>
      <c r="BK45" s="119"/>
      <c r="BL45" s="119"/>
      <c r="BM45" s="120"/>
      <c r="BN45" s="42"/>
      <c r="BO45" s="59"/>
      <c r="BP45" s="59"/>
    </row>
    <row r="46" spans="1:68" ht="15" customHeight="1" x14ac:dyDescent="0.25">
      <c r="A46" s="136"/>
      <c r="B46" s="78"/>
      <c r="C46" s="78"/>
      <c r="D46" s="27"/>
      <c r="E46" s="27"/>
      <c r="F46" s="27"/>
      <c r="G46" s="78"/>
      <c r="H46" s="78"/>
      <c r="I46" s="78"/>
      <c r="J46" s="97"/>
      <c r="K46" s="18"/>
      <c r="L46" s="27"/>
      <c r="M46" s="27"/>
      <c r="N46" s="27"/>
      <c r="O46" s="27"/>
      <c r="P46" s="98"/>
      <c r="Q46" s="98"/>
      <c r="R46" s="24"/>
      <c r="S46" s="27"/>
      <c r="T46" s="27"/>
      <c r="U46" s="27"/>
      <c r="V46" s="27"/>
      <c r="W46" s="27"/>
      <c r="X46" s="27"/>
      <c r="Y46" s="27"/>
      <c r="Z46" s="27"/>
      <c r="AA46" s="27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67"/>
    </row>
    <row r="47" spans="1:68" x14ac:dyDescent="0.25">
      <c r="A47" s="142">
        <v>12</v>
      </c>
      <c r="B47" s="143" t="s">
        <v>38</v>
      </c>
      <c r="C47" s="143">
        <v>9414</v>
      </c>
      <c r="D47" s="144" t="s">
        <v>119</v>
      </c>
      <c r="E47" s="144" t="s">
        <v>120</v>
      </c>
      <c r="F47" s="144" t="s">
        <v>121</v>
      </c>
      <c r="G47" s="144" t="s">
        <v>40</v>
      </c>
      <c r="H47" s="144" t="s">
        <v>157</v>
      </c>
      <c r="I47" s="144" t="s">
        <v>39</v>
      </c>
      <c r="J47" s="145" t="s">
        <v>122</v>
      </c>
      <c r="K47" s="144" t="s">
        <v>123</v>
      </c>
      <c r="L47" s="144">
        <v>180</v>
      </c>
      <c r="M47" s="144">
        <v>0.16500000000000001</v>
      </c>
      <c r="N47" s="144"/>
      <c r="O47" s="144">
        <v>500</v>
      </c>
      <c r="P47" s="146">
        <f>O47*M47</f>
        <v>82.5</v>
      </c>
      <c r="Q47" s="144"/>
      <c r="R47" s="147" t="s">
        <v>64</v>
      </c>
      <c r="S47" s="144">
        <v>333</v>
      </c>
      <c r="T47" s="148">
        <v>1</v>
      </c>
      <c r="U47" s="149">
        <f>S47*T47</f>
        <v>333</v>
      </c>
      <c r="V47" s="144">
        <v>65</v>
      </c>
      <c r="W47" s="144"/>
      <c r="X47" s="150">
        <v>175</v>
      </c>
      <c r="Y47" s="144"/>
      <c r="Z47" s="144">
        <v>12</v>
      </c>
      <c r="AA47" s="150">
        <v>13</v>
      </c>
      <c r="AB47" s="144"/>
      <c r="AC47" s="144"/>
      <c r="AD47" s="144"/>
      <c r="AE47" s="149">
        <f>SUM(U47:AD47)</f>
        <v>598</v>
      </c>
      <c r="AF47" s="149">
        <f>ROUND(AE47*10%,0)</f>
        <v>60</v>
      </c>
      <c r="AG47" s="149">
        <v>0</v>
      </c>
      <c r="AH47" s="149">
        <v>0</v>
      </c>
      <c r="AI47" s="149">
        <v>0</v>
      </c>
      <c r="AJ47" s="149"/>
      <c r="AK47" s="151">
        <f>SUM(AE47:AI47)</f>
        <v>658</v>
      </c>
      <c r="AL47" s="149">
        <f>ROUND(M47*AK47,0)</f>
        <v>109</v>
      </c>
      <c r="AM47" s="144">
        <v>51</v>
      </c>
      <c r="AN47" s="144">
        <v>18</v>
      </c>
      <c r="AO47" s="144">
        <v>3</v>
      </c>
      <c r="AP47" s="144">
        <v>3</v>
      </c>
      <c r="AQ47" s="144">
        <v>0</v>
      </c>
      <c r="AR47" s="144">
        <v>0</v>
      </c>
      <c r="AS47" s="144"/>
      <c r="AT47" s="144">
        <v>0</v>
      </c>
      <c r="AU47" s="144">
        <v>0</v>
      </c>
      <c r="AV47" s="144">
        <v>0</v>
      </c>
      <c r="AW47" s="144">
        <v>1</v>
      </c>
      <c r="AX47" s="144">
        <v>0</v>
      </c>
      <c r="AY47" s="144">
        <v>0</v>
      </c>
      <c r="AZ47" s="144">
        <v>30</v>
      </c>
      <c r="BA47" s="144">
        <v>0</v>
      </c>
      <c r="BB47" s="144">
        <v>0</v>
      </c>
      <c r="BC47" s="144">
        <v>0</v>
      </c>
      <c r="BD47" s="144">
        <v>2</v>
      </c>
      <c r="BE47" s="144">
        <v>0</v>
      </c>
      <c r="BF47" s="144">
        <v>0</v>
      </c>
      <c r="BG47" s="152">
        <f>SUM(AL47:BF47)</f>
        <v>217</v>
      </c>
      <c r="BH47" s="153">
        <v>0.03</v>
      </c>
      <c r="BI47" s="152">
        <f>BG47*BH47+BG47</f>
        <v>223.51</v>
      </c>
      <c r="BJ47" s="153">
        <v>0.08</v>
      </c>
      <c r="BK47" s="152">
        <f>BI47*BJ47+BI47</f>
        <v>241.39079999999998</v>
      </c>
      <c r="BL47" s="152">
        <v>92</v>
      </c>
      <c r="BM47" s="154">
        <f>BK47/BL47</f>
        <v>2.6238130434782607</v>
      </c>
      <c r="BN47" s="42"/>
      <c r="BO47" s="73">
        <v>2.65</v>
      </c>
    </row>
    <row r="48" spans="1:68" x14ac:dyDescent="0.25">
      <c r="A48" s="114"/>
      <c r="B48" s="103"/>
      <c r="C48" s="103"/>
      <c r="D48" s="104"/>
      <c r="E48" s="104"/>
      <c r="F48" s="104"/>
      <c r="G48" s="104"/>
      <c r="H48" s="104"/>
      <c r="I48" s="104"/>
      <c r="J48" s="105"/>
      <c r="K48" s="104"/>
      <c r="L48" s="104"/>
      <c r="M48" s="104"/>
      <c r="N48" s="104"/>
      <c r="O48" s="104"/>
      <c r="P48" s="104"/>
      <c r="Q48" s="104"/>
      <c r="R48" s="108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18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68"/>
    </row>
    <row r="49" spans="1:67" x14ac:dyDescent="0.25">
      <c r="N49" s="32"/>
      <c r="Q49" s="32"/>
      <c r="W49" s="44"/>
      <c r="X49" s="44"/>
      <c r="Y49" s="44"/>
      <c r="AL49" s="32"/>
      <c r="BH49" s="41"/>
      <c r="BI49" s="41"/>
      <c r="BJ49" s="41"/>
      <c r="BK49" s="41"/>
      <c r="BL49" s="41"/>
      <c r="BM49" s="42"/>
      <c r="BN49" s="42"/>
    </row>
    <row r="50" spans="1:67" x14ac:dyDescent="0.25">
      <c r="N50" s="32"/>
      <c r="Q50" s="32"/>
      <c r="W50" s="44"/>
      <c r="X50" s="44"/>
      <c r="Y50" s="44"/>
      <c r="AL50" s="32"/>
      <c r="BH50" s="41"/>
      <c r="BI50" s="41"/>
      <c r="BJ50" s="41"/>
      <c r="BK50" s="41"/>
      <c r="BL50" s="41"/>
      <c r="BM50" s="42"/>
      <c r="BN50" s="42"/>
    </row>
    <row r="51" spans="1:67" x14ac:dyDescent="0.25">
      <c r="N51" s="32"/>
      <c r="Q51" s="32"/>
      <c r="W51" s="44"/>
      <c r="X51" s="44"/>
      <c r="Y51" s="44"/>
      <c r="AL51" s="32"/>
      <c r="BH51" s="41"/>
      <c r="BI51" s="41"/>
      <c r="BJ51" s="41"/>
      <c r="BK51" s="41"/>
      <c r="BL51" s="41"/>
      <c r="BM51" s="42"/>
      <c r="BN51" s="42"/>
    </row>
    <row r="52" spans="1:67" x14ac:dyDescent="0.25">
      <c r="A52" s="115">
        <v>13</v>
      </c>
      <c r="B52" s="82" t="s">
        <v>38</v>
      </c>
      <c r="C52" s="82">
        <v>9420</v>
      </c>
      <c r="D52" s="83" t="s">
        <v>173</v>
      </c>
      <c r="E52" s="83" t="s">
        <v>174</v>
      </c>
      <c r="F52" s="82" t="s">
        <v>175</v>
      </c>
      <c r="G52" s="83" t="s">
        <v>40</v>
      </c>
      <c r="H52" s="83" t="s">
        <v>157</v>
      </c>
      <c r="I52" s="83" t="s">
        <v>39</v>
      </c>
      <c r="J52" s="84" t="s">
        <v>202</v>
      </c>
      <c r="K52" s="83" t="s">
        <v>176</v>
      </c>
      <c r="L52" s="83">
        <v>240</v>
      </c>
      <c r="M52" s="83">
        <v>0.20499999999999999</v>
      </c>
      <c r="N52" s="83"/>
      <c r="O52" s="83">
        <v>500</v>
      </c>
      <c r="P52" s="86">
        <f>O52*M52</f>
        <v>102.5</v>
      </c>
      <c r="Q52" s="83"/>
      <c r="R52" s="87" t="s">
        <v>172</v>
      </c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169">
        <v>900</v>
      </c>
      <c r="AL52" s="89">
        <f>ROUND(M52*AK52,0)</f>
        <v>185</v>
      </c>
      <c r="AM52" s="83">
        <v>80</v>
      </c>
      <c r="AN52" s="83">
        <v>18</v>
      </c>
      <c r="AO52" s="83">
        <v>3</v>
      </c>
      <c r="AP52" s="83">
        <v>3</v>
      </c>
      <c r="AQ52" s="83"/>
      <c r="AR52" s="83"/>
      <c r="AS52" s="83">
        <v>10</v>
      </c>
      <c r="AT52" s="83"/>
      <c r="AU52" s="83"/>
      <c r="AV52" s="83"/>
      <c r="AW52" s="83"/>
      <c r="AX52" s="83"/>
      <c r="AY52" s="83"/>
      <c r="AZ52" s="83"/>
      <c r="BA52" s="83">
        <v>10</v>
      </c>
      <c r="BB52" s="83"/>
      <c r="BC52" s="83"/>
      <c r="BD52" s="83"/>
      <c r="BE52" s="83"/>
      <c r="BF52" s="83"/>
      <c r="BG52" s="92">
        <f>SUM(AL52:BF54)</f>
        <v>380</v>
      </c>
      <c r="BH52" s="170">
        <f>ROUND(BG52*3%,0)</f>
        <v>11</v>
      </c>
      <c r="BI52" s="92">
        <f>BG52+BH52</f>
        <v>391</v>
      </c>
      <c r="BJ52" s="93">
        <v>0.06</v>
      </c>
      <c r="BK52" s="92">
        <f>BI52*BJ52+BI52</f>
        <v>414.46</v>
      </c>
      <c r="BL52" s="92">
        <v>92</v>
      </c>
      <c r="BM52" s="95">
        <f>BK52/BL52</f>
        <v>4.5049999999999999</v>
      </c>
      <c r="BO52" s="73">
        <v>4.5</v>
      </c>
    </row>
    <row r="53" spans="1:67" x14ac:dyDescent="0.25">
      <c r="A53" s="123"/>
      <c r="B53" s="44" t="s">
        <v>38</v>
      </c>
      <c r="C53" s="44">
        <v>9420</v>
      </c>
      <c r="D53" s="18" t="s">
        <v>173</v>
      </c>
      <c r="E53" s="18" t="s">
        <v>174</v>
      </c>
      <c r="F53" s="44" t="s">
        <v>175</v>
      </c>
      <c r="G53" s="18" t="s">
        <v>153</v>
      </c>
      <c r="H53" s="18" t="s">
        <v>157</v>
      </c>
      <c r="I53" s="18" t="s">
        <v>39</v>
      </c>
      <c r="J53" s="97" t="s">
        <v>140</v>
      </c>
      <c r="K53" s="18" t="s">
        <v>142</v>
      </c>
      <c r="L53" s="18">
        <v>40</v>
      </c>
      <c r="M53" s="18"/>
      <c r="N53" s="18">
        <v>1.3</v>
      </c>
      <c r="O53" s="18">
        <v>500</v>
      </c>
      <c r="P53" s="18"/>
      <c r="Q53" s="25">
        <f>N53*O53</f>
        <v>650</v>
      </c>
      <c r="R53" s="21" t="s">
        <v>172</v>
      </c>
      <c r="AK53" s="23">
        <v>50</v>
      </c>
      <c r="AL53" s="25">
        <f>ROUND(N53*AK53,0)</f>
        <v>65</v>
      </c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67"/>
    </row>
    <row r="54" spans="1:67" x14ac:dyDescent="0.25">
      <c r="A54" s="114"/>
      <c r="B54" s="103" t="s">
        <v>38</v>
      </c>
      <c r="C54" s="103">
        <v>9420</v>
      </c>
      <c r="D54" s="104" t="s">
        <v>173</v>
      </c>
      <c r="E54" s="104" t="s">
        <v>174</v>
      </c>
      <c r="F54" s="103" t="s">
        <v>180</v>
      </c>
      <c r="G54" s="103" t="s">
        <v>183</v>
      </c>
      <c r="H54" s="104" t="s">
        <v>157</v>
      </c>
      <c r="I54" s="104" t="s">
        <v>39</v>
      </c>
      <c r="J54" s="105" t="s">
        <v>18</v>
      </c>
      <c r="K54" s="104" t="s">
        <v>109</v>
      </c>
      <c r="L54" s="104">
        <v>160</v>
      </c>
      <c r="M54" s="104">
        <v>0.01</v>
      </c>
      <c r="N54" s="104"/>
      <c r="O54" s="104">
        <v>500</v>
      </c>
      <c r="P54" s="107">
        <f>O54*M54</f>
        <v>5</v>
      </c>
      <c r="Q54" s="110"/>
      <c r="R54" s="108" t="s">
        <v>182</v>
      </c>
      <c r="S54" s="104">
        <v>346</v>
      </c>
      <c r="T54" s="109">
        <v>1</v>
      </c>
      <c r="U54" s="110">
        <f>S54*T54</f>
        <v>346</v>
      </c>
      <c r="V54" s="104">
        <v>13</v>
      </c>
      <c r="W54" s="125">
        <v>0</v>
      </c>
      <c r="X54" s="125">
        <v>175</v>
      </c>
      <c r="Y54" s="104"/>
      <c r="Z54" s="125">
        <v>12</v>
      </c>
      <c r="AA54" s="125">
        <v>13</v>
      </c>
      <c r="AB54" s="104"/>
      <c r="AC54" s="104"/>
      <c r="AD54" s="104"/>
      <c r="AE54" s="110">
        <f>SUM(U54:AD54)</f>
        <v>559</v>
      </c>
      <c r="AF54" s="110">
        <f>ROUND(AE54*10%,0)</f>
        <v>56</v>
      </c>
      <c r="AG54" s="110">
        <v>0</v>
      </c>
      <c r="AH54" s="110">
        <v>0</v>
      </c>
      <c r="AI54" s="110">
        <v>0</v>
      </c>
      <c r="AJ54" s="110"/>
      <c r="AK54" s="111">
        <f>SUM(AE54:AI54)</f>
        <v>615</v>
      </c>
      <c r="AL54" s="110">
        <f>ROUND(M54*AK54,0)</f>
        <v>6</v>
      </c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28"/>
      <c r="BH54" s="119"/>
      <c r="BI54" s="128"/>
      <c r="BJ54" s="119"/>
      <c r="BK54" s="128"/>
      <c r="BL54" s="128"/>
      <c r="BM54" s="120"/>
    </row>
    <row r="56" spans="1:67" x14ac:dyDescent="0.25">
      <c r="A56" s="115">
        <v>14</v>
      </c>
      <c r="B56" s="82" t="s">
        <v>38</v>
      </c>
      <c r="C56" s="82">
        <v>9420</v>
      </c>
      <c r="D56" s="83" t="s">
        <v>177</v>
      </c>
      <c r="E56" s="83" t="s">
        <v>178</v>
      </c>
      <c r="F56" s="83" t="s">
        <v>140</v>
      </c>
      <c r="G56" s="83" t="s">
        <v>40</v>
      </c>
      <c r="H56" s="83" t="s">
        <v>157</v>
      </c>
      <c r="I56" s="83" t="s">
        <v>179</v>
      </c>
      <c r="J56" s="84" t="s">
        <v>140</v>
      </c>
      <c r="K56" s="83" t="s">
        <v>142</v>
      </c>
      <c r="L56" s="83">
        <v>40</v>
      </c>
      <c r="M56" s="83"/>
      <c r="N56" s="83">
        <v>1.2</v>
      </c>
      <c r="O56" s="83">
        <v>500</v>
      </c>
      <c r="P56" s="83"/>
      <c r="Q56" s="89">
        <f>N56*O56</f>
        <v>600</v>
      </c>
      <c r="R56" s="87" t="s">
        <v>172</v>
      </c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169">
        <v>100</v>
      </c>
      <c r="AL56" s="89">
        <f>ROUND(N56*AK56,0)</f>
        <v>120</v>
      </c>
      <c r="AM56" s="83">
        <v>67</v>
      </c>
      <c r="AN56" s="83">
        <v>18</v>
      </c>
      <c r="AO56" s="83">
        <v>3</v>
      </c>
      <c r="AP56" s="83">
        <v>3</v>
      </c>
      <c r="AQ56" s="83">
        <v>9</v>
      </c>
      <c r="AR56" s="83"/>
      <c r="AS56" s="83">
        <v>10</v>
      </c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>
        <v>22</v>
      </c>
      <c r="BE56" s="83"/>
      <c r="BF56" s="83"/>
      <c r="BG56" s="92">
        <f>SUM(AL56:BF57)</f>
        <v>301</v>
      </c>
      <c r="BH56" s="170">
        <f>ROUND(BG56*3%,0)</f>
        <v>9</v>
      </c>
      <c r="BI56" s="92">
        <f>BG56+BH56</f>
        <v>310</v>
      </c>
      <c r="BJ56" s="93">
        <v>0.11</v>
      </c>
      <c r="BK56" s="92">
        <f>BI56*BJ56+BI56</f>
        <v>344.1</v>
      </c>
      <c r="BL56" s="92">
        <v>92</v>
      </c>
      <c r="BM56" s="95">
        <f>BK56/BL56</f>
        <v>3.7402173913043479</v>
      </c>
      <c r="BO56" s="73">
        <v>3.75</v>
      </c>
    </row>
    <row r="57" spans="1:67" x14ac:dyDescent="0.25">
      <c r="A57" s="114"/>
      <c r="B57" s="103" t="s">
        <v>38</v>
      </c>
      <c r="C57" s="103">
        <v>9420</v>
      </c>
      <c r="D57" s="104" t="s">
        <v>177</v>
      </c>
      <c r="E57" s="104" t="s">
        <v>178</v>
      </c>
      <c r="F57" s="104" t="s">
        <v>180</v>
      </c>
      <c r="G57" s="104" t="s">
        <v>181</v>
      </c>
      <c r="H57" s="104" t="s">
        <v>157</v>
      </c>
      <c r="I57" s="104" t="s">
        <v>39</v>
      </c>
      <c r="J57" s="105" t="s">
        <v>18</v>
      </c>
      <c r="K57" s="104" t="s">
        <v>109</v>
      </c>
      <c r="L57" s="104">
        <v>160</v>
      </c>
      <c r="M57" s="104">
        <v>0.08</v>
      </c>
      <c r="N57" s="104"/>
      <c r="O57" s="104">
        <v>500</v>
      </c>
      <c r="P57" s="107">
        <f>O57*M57</f>
        <v>40</v>
      </c>
      <c r="Q57" s="104"/>
      <c r="R57" s="108" t="s">
        <v>182</v>
      </c>
      <c r="S57" s="104">
        <v>346</v>
      </c>
      <c r="T57" s="109">
        <v>1</v>
      </c>
      <c r="U57" s="110">
        <f>S57*T57</f>
        <v>346</v>
      </c>
      <c r="V57" s="104">
        <v>13</v>
      </c>
      <c r="W57" s="125">
        <v>0</v>
      </c>
      <c r="X57" s="125">
        <v>175</v>
      </c>
      <c r="Y57" s="104"/>
      <c r="Z57" s="125">
        <v>12</v>
      </c>
      <c r="AA57" s="125">
        <v>13</v>
      </c>
      <c r="AB57" s="104"/>
      <c r="AC57" s="104"/>
      <c r="AD57" s="104"/>
      <c r="AE57" s="110">
        <f>SUM(U57:AD57)</f>
        <v>559</v>
      </c>
      <c r="AF57" s="110">
        <f>ROUND(AE57*10%,0)</f>
        <v>56</v>
      </c>
      <c r="AG57" s="110">
        <v>0</v>
      </c>
      <c r="AH57" s="110">
        <v>0</v>
      </c>
      <c r="AI57" s="110">
        <v>0</v>
      </c>
      <c r="AJ57" s="110"/>
      <c r="AK57" s="111">
        <f>SUM(AE57:AI57)</f>
        <v>615</v>
      </c>
      <c r="AL57" s="110">
        <f>ROUND(M57*AK57,0)</f>
        <v>49</v>
      </c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68"/>
    </row>
  </sheetData>
  <autoFilter ref="B2:P47"/>
  <mergeCells count="30">
    <mergeCell ref="I22:I24"/>
    <mergeCell ref="I18:I20"/>
    <mergeCell ref="I12:I13"/>
    <mergeCell ref="I15:I16"/>
    <mergeCell ref="H43:H45"/>
    <mergeCell ref="I43:I45"/>
    <mergeCell ref="H39:H41"/>
    <mergeCell ref="I39:I41"/>
    <mergeCell ref="I34:I37"/>
    <mergeCell ref="I30:I32"/>
    <mergeCell ref="I26:I28"/>
    <mergeCell ref="H18:H20"/>
    <mergeCell ref="H22:H24"/>
    <mergeCell ref="H26:H28"/>
    <mergeCell ref="H30:H32"/>
    <mergeCell ref="H34:H37"/>
    <mergeCell ref="H4:H6"/>
    <mergeCell ref="H8:H10"/>
    <mergeCell ref="H12:H13"/>
    <mergeCell ref="H15:H16"/>
    <mergeCell ref="BP1:BP2"/>
    <mergeCell ref="BQ1:BQ2"/>
    <mergeCell ref="T1:T2"/>
    <mergeCell ref="U1:U2"/>
    <mergeCell ref="AQ1:AR1"/>
    <mergeCell ref="BL1:BL2"/>
    <mergeCell ref="BM1:BM2"/>
    <mergeCell ref="BO1:BO2"/>
    <mergeCell ref="AW1:AW2"/>
    <mergeCell ref="AV1:AV2"/>
  </mergeCells>
  <pageMargins left="0" right="0" top="0" bottom="0" header="0.31496062992125984" footer="0.31496062992125984"/>
  <pageSetup paperSize="8" scale="85" orientation="landscape" r:id="rId1"/>
  <colBreaks count="2" manualBreakCount="2">
    <brk id="37" max="56" man="1"/>
    <brk id="65" max="4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9"/>
  <sheetViews>
    <sheetView zoomScaleNormal="100" workbookViewId="0">
      <pane xSplit="4" ySplit="2" topLeftCell="E12" activePane="bottomRight" state="frozen"/>
      <selection pane="topRight" activeCell="E1" sqref="E1"/>
      <selection pane="bottomLeft" activeCell="A3" sqref="A3"/>
      <selection pane="bottomRight" activeCell="H29" sqref="H29"/>
    </sheetView>
  </sheetViews>
  <sheetFormatPr defaultRowHeight="15" x14ac:dyDescent="0.25"/>
  <cols>
    <col min="1" max="1" width="5.7109375" style="4" bestFit="1" customWidth="1"/>
    <col min="2" max="2" width="7.42578125" style="3" customWidth="1"/>
    <col min="3" max="3" width="8.140625" style="1" customWidth="1"/>
    <col min="4" max="4" width="13.28515625" customWidth="1"/>
    <col min="5" max="5" width="18.28515625" customWidth="1"/>
    <col min="6" max="6" width="15.28515625" bestFit="1" customWidth="1"/>
    <col min="7" max="7" width="13.42578125" bestFit="1" customWidth="1"/>
    <col min="8" max="8" width="19.28515625" customWidth="1"/>
    <col min="9" max="9" width="11" customWidth="1"/>
    <col min="10" max="10" width="24.85546875" customWidth="1"/>
    <col min="11" max="11" width="23.85546875" bestFit="1" customWidth="1"/>
    <col min="12" max="12" width="5" bestFit="1" customWidth="1"/>
    <col min="13" max="13" width="8.42578125" bestFit="1" customWidth="1"/>
    <col min="14" max="14" width="8.42578125" customWidth="1"/>
    <col min="15" max="15" width="6.42578125" bestFit="1" customWidth="1"/>
    <col min="16" max="16" width="9.5703125" bestFit="1" customWidth="1"/>
    <col min="17" max="17" width="7.5703125" bestFit="1" customWidth="1"/>
    <col min="18" max="18" width="6.28515625" style="21" bestFit="1" customWidth="1"/>
    <col min="19" max="19" width="7.42578125" style="18" bestFit="1" customWidth="1"/>
    <col min="20" max="20" width="6.5703125" style="18" customWidth="1"/>
    <col min="21" max="21" width="6.5703125" style="18" bestFit="1" customWidth="1"/>
    <col min="22" max="22" width="4.28515625" style="18" bestFit="1" customWidth="1"/>
    <col min="23" max="23" width="4.5703125" style="18" customWidth="1"/>
    <col min="24" max="24" width="6.5703125" style="18" bestFit="1" customWidth="1"/>
    <col min="25" max="25" width="6.5703125" style="18" customWidth="1"/>
    <col min="26" max="27" width="5.7109375" style="18" bestFit="1" customWidth="1"/>
    <col min="28" max="28" width="4.5703125" style="18" bestFit="1" customWidth="1"/>
    <col min="29" max="29" width="5.28515625" style="18" customWidth="1"/>
    <col min="30" max="30" width="9.28515625" style="18" customWidth="1"/>
    <col min="31" max="31" width="8.85546875" style="18" bestFit="1" customWidth="1"/>
    <col min="32" max="32" width="8" style="18" bestFit="1" customWidth="1"/>
    <col min="33" max="33" width="6.5703125" style="18" bestFit="1" customWidth="1"/>
    <col min="34" max="35" width="9.140625" style="18"/>
    <col min="36" max="36" width="0" style="18" hidden="1" customWidth="1"/>
    <col min="37" max="37" width="12" style="23" bestFit="1" customWidth="1"/>
    <col min="38" max="38" width="14.28515625" bestFit="1" customWidth="1"/>
    <col min="39" max="39" width="5.28515625" bestFit="1" customWidth="1"/>
    <col min="40" max="40" width="4.5703125" bestFit="1" customWidth="1"/>
    <col min="41" max="41" width="5" bestFit="1" customWidth="1"/>
    <col min="42" max="42" width="4.42578125" bestFit="1" customWidth="1"/>
    <col min="43" max="43" width="4.5703125" bestFit="1" customWidth="1"/>
    <col min="44" max="44" width="5.42578125" bestFit="1" customWidth="1"/>
    <col min="45" max="45" width="6.42578125" bestFit="1" customWidth="1"/>
    <col min="46" max="46" width="3.7109375" bestFit="1" customWidth="1"/>
    <col min="47" max="48" width="6.42578125" customWidth="1"/>
    <col min="49" max="49" width="6.85546875" bestFit="1" customWidth="1"/>
    <col min="50" max="50" width="8" bestFit="1" customWidth="1"/>
    <col min="51" max="51" width="8" hidden="1" customWidth="1"/>
    <col min="52" max="53" width="6.5703125" bestFit="1" customWidth="1"/>
    <col min="54" max="54" width="6.5703125" hidden="1" customWidth="1"/>
    <col min="55" max="55" width="6.5703125" bestFit="1" customWidth="1"/>
    <col min="56" max="56" width="7.85546875" bestFit="1" customWidth="1"/>
    <col min="57" max="57" width="7.85546875" customWidth="1"/>
    <col min="58" max="58" width="0" hidden="1" customWidth="1"/>
    <col min="59" max="59" width="7.85546875" customWidth="1"/>
    <col min="60" max="60" width="8.140625" bestFit="1" customWidth="1"/>
    <col min="61" max="61" width="8.42578125" customWidth="1"/>
    <col min="62" max="62" width="5.5703125" bestFit="1" customWidth="1"/>
    <col min="64" max="64" width="6.85546875" customWidth="1"/>
  </cols>
  <sheetData>
    <row r="1" spans="1:69" x14ac:dyDescent="0.25">
      <c r="F1" t="s">
        <v>4</v>
      </c>
      <c r="N1" t="s">
        <v>27</v>
      </c>
      <c r="O1" t="s">
        <v>26</v>
      </c>
      <c r="P1" t="s">
        <v>30</v>
      </c>
      <c r="Q1" t="s">
        <v>31</v>
      </c>
      <c r="R1" s="17" t="s">
        <v>41</v>
      </c>
      <c r="S1" s="39">
        <v>46143</v>
      </c>
      <c r="T1" s="173" t="s">
        <v>84</v>
      </c>
      <c r="U1" s="173" t="s">
        <v>86</v>
      </c>
      <c r="V1" s="18" t="s">
        <v>0</v>
      </c>
      <c r="W1" s="19" t="s">
        <v>1</v>
      </c>
      <c r="X1" s="19" t="s">
        <v>87</v>
      </c>
      <c r="Y1" s="29" t="s">
        <v>88</v>
      </c>
      <c r="Z1" s="19" t="s">
        <v>2</v>
      </c>
      <c r="AA1" s="19" t="s">
        <v>3</v>
      </c>
      <c r="AB1" s="19" t="s">
        <v>43</v>
      </c>
      <c r="AC1" s="29" t="s">
        <v>66</v>
      </c>
      <c r="AD1" s="19" t="s">
        <v>44</v>
      </c>
      <c r="AE1" s="19" t="s">
        <v>45</v>
      </c>
      <c r="AF1" s="19" t="s">
        <v>46</v>
      </c>
      <c r="AG1" s="29" t="s">
        <v>67</v>
      </c>
      <c r="AH1" s="29" t="s">
        <v>68</v>
      </c>
      <c r="AI1" s="29" t="s">
        <v>3</v>
      </c>
      <c r="AJ1" s="29" t="s">
        <v>69</v>
      </c>
      <c r="AK1" s="20" t="s">
        <v>47</v>
      </c>
      <c r="AL1" s="29" t="s">
        <v>50</v>
      </c>
      <c r="AM1" s="29" t="s">
        <v>51</v>
      </c>
      <c r="AN1" s="29" t="s">
        <v>52</v>
      </c>
      <c r="AO1" s="29" t="s">
        <v>53</v>
      </c>
      <c r="AP1" s="29" t="s">
        <v>54</v>
      </c>
      <c r="AQ1" s="174" t="s">
        <v>114</v>
      </c>
      <c r="AR1" s="174"/>
      <c r="AS1" s="29" t="s">
        <v>55</v>
      </c>
      <c r="AT1" s="29" t="s">
        <v>106</v>
      </c>
      <c r="AU1" s="29" t="s">
        <v>92</v>
      </c>
      <c r="AV1" s="29" t="s">
        <v>93</v>
      </c>
      <c r="AW1" s="29" t="s">
        <v>56</v>
      </c>
      <c r="AX1" s="29" t="s">
        <v>57</v>
      </c>
      <c r="AY1" s="29" t="s">
        <v>58</v>
      </c>
      <c r="AZ1" s="29" t="s">
        <v>72</v>
      </c>
      <c r="BA1" s="29" t="s">
        <v>73</v>
      </c>
      <c r="BB1" s="29" t="s">
        <v>74</v>
      </c>
      <c r="BC1" s="29" t="s">
        <v>115</v>
      </c>
      <c r="BD1" s="29" t="s">
        <v>59</v>
      </c>
      <c r="BE1" s="29" t="s">
        <v>59</v>
      </c>
      <c r="BF1" s="29" t="s">
        <v>78</v>
      </c>
      <c r="BG1" t="s">
        <v>77</v>
      </c>
      <c r="BH1" t="s">
        <v>60</v>
      </c>
      <c r="BI1" t="s">
        <v>75</v>
      </c>
      <c r="BK1" t="s">
        <v>61</v>
      </c>
      <c r="BL1" s="175" t="s">
        <v>185</v>
      </c>
      <c r="BM1" s="176" t="s">
        <v>63</v>
      </c>
      <c r="BN1" s="63" t="s">
        <v>158</v>
      </c>
      <c r="BO1" s="172" t="s">
        <v>155</v>
      </c>
      <c r="BP1" s="172" t="s">
        <v>160</v>
      </c>
      <c r="BQ1" s="172" t="s">
        <v>156</v>
      </c>
    </row>
    <row r="2" spans="1:69" x14ac:dyDescent="0.25">
      <c r="A2" s="4" t="s">
        <v>20</v>
      </c>
      <c r="B2" s="3" t="s">
        <v>11</v>
      </c>
      <c r="C2" s="1" t="s">
        <v>19</v>
      </c>
      <c r="D2" t="s">
        <v>10</v>
      </c>
      <c r="E2" t="s">
        <v>12</v>
      </c>
      <c r="F2" t="s">
        <v>5</v>
      </c>
      <c r="G2" t="s">
        <v>13</v>
      </c>
      <c r="H2" t="s">
        <v>6</v>
      </c>
      <c r="I2" t="s">
        <v>14</v>
      </c>
      <c r="J2" t="s">
        <v>7</v>
      </c>
      <c r="K2" t="s">
        <v>9</v>
      </c>
      <c r="L2" t="s">
        <v>8</v>
      </c>
      <c r="M2" t="s">
        <v>28</v>
      </c>
      <c r="N2" t="s">
        <v>29</v>
      </c>
      <c r="O2" t="s">
        <v>15</v>
      </c>
      <c r="P2" t="s">
        <v>16</v>
      </c>
      <c r="Q2" t="s">
        <v>32</v>
      </c>
      <c r="R2" s="21" t="s">
        <v>42</v>
      </c>
      <c r="S2" s="18" t="s">
        <v>85</v>
      </c>
      <c r="T2" s="173"/>
      <c r="U2" s="173"/>
      <c r="W2" s="22"/>
      <c r="X2" s="22"/>
      <c r="Y2" s="34"/>
      <c r="AJ2" s="18" t="s">
        <v>70</v>
      </c>
      <c r="AK2" s="23" t="s">
        <v>48</v>
      </c>
      <c r="AL2" s="29" t="s">
        <v>49</v>
      </c>
      <c r="AS2" t="s">
        <v>71</v>
      </c>
      <c r="BD2" t="s">
        <v>90</v>
      </c>
      <c r="BE2" t="s">
        <v>91</v>
      </c>
      <c r="BF2" t="s">
        <v>79</v>
      </c>
      <c r="BG2" t="s">
        <v>76</v>
      </c>
      <c r="BH2" s="30">
        <v>0.03</v>
      </c>
      <c r="BI2" t="s">
        <v>76</v>
      </c>
      <c r="BJ2" s="30" t="s">
        <v>161</v>
      </c>
      <c r="BK2" t="s">
        <v>62</v>
      </c>
      <c r="BL2" s="175"/>
      <c r="BM2" s="176"/>
      <c r="BN2" s="63" t="s">
        <v>159</v>
      </c>
      <c r="BO2" s="172"/>
      <c r="BP2" s="172"/>
      <c r="BQ2" s="172"/>
    </row>
    <row r="3" spans="1:69" x14ac:dyDescent="0.25">
      <c r="A3" s="43"/>
      <c r="B3" s="43"/>
      <c r="C3" s="43"/>
      <c r="T3" s="57"/>
      <c r="U3" s="57"/>
      <c r="W3" s="44"/>
      <c r="X3" s="44"/>
      <c r="Y3" s="44"/>
      <c r="AL3" s="29"/>
      <c r="BH3" s="30"/>
      <c r="BJ3" s="30"/>
      <c r="BM3" s="56"/>
      <c r="BN3" s="63"/>
    </row>
    <row r="4" spans="1:69" x14ac:dyDescent="0.25">
      <c r="A4" s="62">
        <v>1</v>
      </c>
      <c r="B4" s="43" t="s">
        <v>38</v>
      </c>
      <c r="C4" s="43">
        <v>9414</v>
      </c>
      <c r="D4" t="s">
        <v>107</v>
      </c>
      <c r="E4" t="s">
        <v>108</v>
      </c>
      <c r="F4" t="s">
        <v>80</v>
      </c>
      <c r="G4" t="s">
        <v>40</v>
      </c>
      <c r="H4" t="s">
        <v>81</v>
      </c>
      <c r="I4" t="s">
        <v>110</v>
      </c>
      <c r="J4" t="s">
        <v>82</v>
      </c>
      <c r="K4" t="s">
        <v>109</v>
      </c>
      <c r="L4">
        <v>280</v>
      </c>
      <c r="M4" s="2">
        <v>0.27</v>
      </c>
      <c r="O4">
        <v>500</v>
      </c>
      <c r="P4" s="15">
        <f>O4*M4</f>
        <v>135</v>
      </c>
      <c r="R4" s="21" t="s">
        <v>64</v>
      </c>
      <c r="S4" s="18">
        <v>333</v>
      </c>
      <c r="T4" s="40">
        <v>0.7</v>
      </c>
      <c r="U4" s="25">
        <f>S4*T4</f>
        <v>233.1</v>
      </c>
      <c r="V4" s="18">
        <v>25</v>
      </c>
      <c r="W4" s="44"/>
      <c r="X4" s="44">
        <v>55</v>
      </c>
      <c r="Y4" s="44"/>
      <c r="Z4" s="18">
        <v>12</v>
      </c>
      <c r="AA4" s="48">
        <v>13</v>
      </c>
      <c r="AB4" s="48">
        <v>13</v>
      </c>
      <c r="AE4" s="25">
        <f>SUM(U4:AD5)</f>
        <v>442.6</v>
      </c>
      <c r="AF4" s="25">
        <f>ROUND(AE4*10%,0)</f>
        <v>44</v>
      </c>
      <c r="AG4" s="25">
        <v>0</v>
      </c>
      <c r="AH4" s="25">
        <v>0</v>
      </c>
      <c r="AI4" s="25">
        <v>0</v>
      </c>
      <c r="AJ4" s="25"/>
      <c r="AK4" s="26">
        <f>SUM(AE4:AI4)</f>
        <v>486.6</v>
      </c>
      <c r="AL4" s="32">
        <f>ROUND(M4*AK4,0)</f>
        <v>131</v>
      </c>
      <c r="AM4">
        <v>76</v>
      </c>
      <c r="AN4">
        <v>18</v>
      </c>
      <c r="AO4">
        <v>3</v>
      </c>
      <c r="AP4">
        <v>3</v>
      </c>
      <c r="AQ4">
        <v>1</v>
      </c>
      <c r="AS4">
        <v>3</v>
      </c>
      <c r="AU4">
        <v>6</v>
      </c>
      <c r="AV4">
        <v>4</v>
      </c>
      <c r="AX4">
        <v>0</v>
      </c>
      <c r="AY4">
        <v>0</v>
      </c>
      <c r="AZ4">
        <v>0</v>
      </c>
      <c r="BA4">
        <v>0</v>
      </c>
      <c r="BB4">
        <v>0</v>
      </c>
      <c r="BC4">
        <v>102</v>
      </c>
      <c r="BD4">
        <v>4</v>
      </c>
      <c r="BE4">
        <v>8</v>
      </c>
      <c r="BG4" s="53">
        <f>SUM(AL4:BF6)</f>
        <v>398</v>
      </c>
      <c r="BH4" s="72">
        <v>0.03</v>
      </c>
      <c r="BI4" s="53">
        <f>BG4*BH4+BG4</f>
        <v>409.94</v>
      </c>
      <c r="BJ4" s="64">
        <v>0.05</v>
      </c>
      <c r="BK4" s="53">
        <f>BI4*BJ4+BI4</f>
        <v>430.43700000000001</v>
      </c>
      <c r="BL4" s="53">
        <v>92</v>
      </c>
      <c r="BM4" s="42">
        <f>BK4/BL4</f>
        <v>4.6786630434782612</v>
      </c>
      <c r="BN4" s="42">
        <f>AVERAGE(BM4:BM66)</f>
        <v>4.7396298916481037</v>
      </c>
      <c r="BO4" s="73">
        <v>4.6500000000000004</v>
      </c>
      <c r="BP4" s="42">
        <f>AVERAGE(BO4:BO66)</f>
        <v>4.6538461538461542</v>
      </c>
    </row>
    <row r="5" spans="1:69" x14ac:dyDescent="0.25">
      <c r="A5" s="41"/>
      <c r="Q5" s="15"/>
      <c r="R5" s="21" t="s">
        <v>65</v>
      </c>
      <c r="S5" s="18">
        <v>305</v>
      </c>
      <c r="T5" s="40">
        <v>0.3</v>
      </c>
      <c r="U5" s="25">
        <f>S5*T5</f>
        <v>91.5</v>
      </c>
      <c r="W5" s="34"/>
      <c r="X5" s="34"/>
      <c r="Y5" s="34"/>
      <c r="AA5" s="35"/>
      <c r="AB5" s="35"/>
      <c r="AE5" s="25"/>
      <c r="AF5" s="25"/>
      <c r="AG5" s="25"/>
      <c r="AH5" s="25"/>
      <c r="AI5" s="25"/>
      <c r="AJ5" s="25"/>
      <c r="AK5" s="26"/>
      <c r="AL5" s="32"/>
      <c r="BG5" s="53"/>
      <c r="BH5" s="41"/>
      <c r="BI5" s="53"/>
      <c r="BJ5" s="41"/>
      <c r="BK5" s="41"/>
      <c r="BL5" s="41"/>
      <c r="BM5" s="42"/>
      <c r="BN5" s="42"/>
    </row>
    <row r="6" spans="1:69" ht="15" customHeight="1" x14ac:dyDescent="0.25">
      <c r="A6" s="41"/>
      <c r="B6" s="43" t="s">
        <v>38</v>
      </c>
      <c r="C6" s="43">
        <v>9414</v>
      </c>
      <c r="D6" t="s">
        <v>107</v>
      </c>
      <c r="E6" t="s">
        <v>108</v>
      </c>
      <c r="F6" t="s">
        <v>112</v>
      </c>
      <c r="G6" t="s">
        <v>17</v>
      </c>
      <c r="H6" t="s">
        <v>81</v>
      </c>
      <c r="I6" t="s">
        <v>110</v>
      </c>
      <c r="J6" t="s">
        <v>82</v>
      </c>
      <c r="K6" t="s">
        <v>113</v>
      </c>
      <c r="L6">
        <v>370</v>
      </c>
      <c r="M6" s="2">
        <v>0.08</v>
      </c>
      <c r="O6">
        <v>500</v>
      </c>
      <c r="P6" s="15">
        <f>O6*M6</f>
        <v>40</v>
      </c>
      <c r="R6" s="21" t="s">
        <v>65</v>
      </c>
      <c r="S6" s="18">
        <v>305</v>
      </c>
      <c r="T6" s="40">
        <v>1</v>
      </c>
      <c r="U6" s="25">
        <f>S6*T6</f>
        <v>305</v>
      </c>
      <c r="V6" s="18">
        <v>70</v>
      </c>
      <c r="W6" s="34"/>
      <c r="X6" s="34">
        <v>55</v>
      </c>
      <c r="Y6" s="34"/>
      <c r="Z6" s="18">
        <v>10</v>
      </c>
      <c r="AE6" s="25">
        <f>SUM(U6:AD6)</f>
        <v>440</v>
      </c>
      <c r="AF6" s="25">
        <f>ROUND(AE6*10%,0)</f>
        <v>44</v>
      </c>
      <c r="AG6" s="25">
        <v>0</v>
      </c>
      <c r="AH6" s="25">
        <v>0</v>
      </c>
      <c r="AI6" s="25">
        <v>0</v>
      </c>
      <c r="AK6" s="26">
        <f>SUM(AE6:AI6)</f>
        <v>484</v>
      </c>
      <c r="AL6" s="32">
        <f>ROUND(M6*AK6,0)</f>
        <v>39</v>
      </c>
      <c r="BG6" s="46"/>
      <c r="BH6" s="46"/>
      <c r="BI6" s="47"/>
      <c r="BJ6" s="46"/>
      <c r="BK6" s="46"/>
      <c r="BL6" s="67"/>
      <c r="BM6" s="45"/>
      <c r="BN6" s="45"/>
    </row>
    <row r="7" spans="1:69" ht="15" customHeight="1" x14ac:dyDescent="0.25">
      <c r="A7" s="46"/>
      <c r="B7" s="43"/>
      <c r="C7" s="43"/>
      <c r="M7" s="2"/>
      <c r="P7" s="15"/>
      <c r="T7" s="40"/>
      <c r="U7" s="25"/>
      <c r="W7" s="44"/>
      <c r="X7" s="44"/>
      <c r="Y7" s="44"/>
      <c r="AE7" s="25"/>
      <c r="AF7" s="25"/>
      <c r="AG7" s="25"/>
      <c r="AH7" s="25"/>
      <c r="AI7" s="25"/>
      <c r="AK7" s="26"/>
      <c r="AL7" s="32"/>
      <c r="BG7" s="46"/>
      <c r="BH7" s="46"/>
      <c r="BI7" s="47"/>
      <c r="BJ7" s="46"/>
      <c r="BK7" s="46"/>
      <c r="BL7" s="67"/>
      <c r="BM7" s="45"/>
      <c r="BN7" s="45"/>
    </row>
    <row r="8" spans="1:69" ht="15" customHeight="1" x14ac:dyDescent="0.25">
      <c r="A8" s="46">
        <v>2</v>
      </c>
      <c r="B8" s="43" t="s">
        <v>38</v>
      </c>
      <c r="C8" s="43">
        <v>9414</v>
      </c>
      <c r="D8" t="s">
        <v>116</v>
      </c>
      <c r="E8" t="s">
        <v>117</v>
      </c>
      <c r="F8" t="s">
        <v>80</v>
      </c>
      <c r="G8" t="s">
        <v>40</v>
      </c>
      <c r="H8" t="s">
        <v>81</v>
      </c>
      <c r="I8" t="s">
        <v>110</v>
      </c>
      <c r="J8" t="s">
        <v>82</v>
      </c>
      <c r="K8" t="s">
        <v>109</v>
      </c>
      <c r="L8">
        <v>280</v>
      </c>
      <c r="M8" s="2">
        <v>0.27</v>
      </c>
      <c r="O8">
        <v>500</v>
      </c>
      <c r="P8" s="15">
        <f>O8*M8</f>
        <v>135</v>
      </c>
      <c r="R8" s="21" t="s">
        <v>64</v>
      </c>
      <c r="S8" s="18">
        <v>333</v>
      </c>
      <c r="T8" s="40">
        <v>0.7</v>
      </c>
      <c r="U8" s="25">
        <f>S8*T8</f>
        <v>233.1</v>
      </c>
      <c r="V8" s="18">
        <v>25</v>
      </c>
      <c r="W8" s="44"/>
      <c r="X8" s="44">
        <v>55</v>
      </c>
      <c r="Y8" s="44"/>
      <c r="Z8" s="18">
        <v>12</v>
      </c>
      <c r="AA8" s="48">
        <v>13</v>
      </c>
      <c r="AB8" s="48">
        <v>13</v>
      </c>
      <c r="AE8" s="25">
        <f>SUM(U8:AD9)</f>
        <v>442.6</v>
      </c>
      <c r="AF8" s="25">
        <f>ROUND(AE8*10%,0)</f>
        <v>44</v>
      </c>
      <c r="AG8" s="25">
        <v>0</v>
      </c>
      <c r="AH8" s="25">
        <v>0</v>
      </c>
      <c r="AI8" s="25">
        <v>0</v>
      </c>
      <c r="AJ8" s="25"/>
      <c r="AK8" s="26">
        <f>SUM(AE8:AI8)</f>
        <v>486.6</v>
      </c>
      <c r="AL8" s="32">
        <f>ROUND(M8*AK8,0)</f>
        <v>131</v>
      </c>
      <c r="AM8">
        <v>62</v>
      </c>
      <c r="AN8">
        <v>18</v>
      </c>
      <c r="AO8">
        <v>3</v>
      </c>
      <c r="AP8">
        <v>3</v>
      </c>
      <c r="AQ8">
        <v>1</v>
      </c>
      <c r="AS8">
        <v>3</v>
      </c>
      <c r="AU8">
        <v>0</v>
      </c>
      <c r="AV8">
        <v>0</v>
      </c>
      <c r="AX8">
        <v>30</v>
      </c>
      <c r="AY8">
        <v>0</v>
      </c>
      <c r="AZ8">
        <v>0</v>
      </c>
      <c r="BA8">
        <v>0</v>
      </c>
      <c r="BB8">
        <v>0</v>
      </c>
      <c r="BC8">
        <v>104</v>
      </c>
      <c r="BD8">
        <v>0</v>
      </c>
      <c r="BE8">
        <v>0</v>
      </c>
      <c r="BG8" s="53">
        <f>SUM(AL8:BF10)</f>
        <v>399</v>
      </c>
      <c r="BH8" s="72">
        <v>0.03</v>
      </c>
      <c r="BI8" s="53">
        <f>BG8*BH8+BG8</f>
        <v>410.97</v>
      </c>
      <c r="BJ8" s="72">
        <v>7.0000000000000007E-2</v>
      </c>
      <c r="BK8" s="53">
        <f>BI8*BJ8+BI8</f>
        <v>439.73790000000002</v>
      </c>
      <c r="BL8" s="53">
        <v>92</v>
      </c>
      <c r="BM8" s="42">
        <f>BK8/BL8</f>
        <v>4.7797597826086955</v>
      </c>
      <c r="BN8" s="42"/>
      <c r="BO8" s="73">
        <v>4.8499999999999996</v>
      </c>
    </row>
    <row r="9" spans="1:69" x14ac:dyDescent="0.25">
      <c r="A9" s="41"/>
      <c r="B9" s="33"/>
      <c r="C9" s="33"/>
      <c r="R9" s="21" t="s">
        <v>65</v>
      </c>
      <c r="S9" s="18">
        <v>305</v>
      </c>
      <c r="T9" s="40">
        <v>0.3</v>
      </c>
      <c r="U9" s="25">
        <f>S9*T9</f>
        <v>91.5</v>
      </c>
      <c r="W9" s="44"/>
      <c r="X9" s="44"/>
      <c r="Y9" s="44"/>
      <c r="AA9" s="48"/>
      <c r="AB9" s="48"/>
      <c r="AE9" s="25"/>
      <c r="AF9" s="25"/>
      <c r="AG9" s="25"/>
      <c r="AH9" s="25"/>
      <c r="AI9" s="25"/>
      <c r="AJ9" s="25"/>
      <c r="AK9" s="26"/>
      <c r="AL9" s="32"/>
      <c r="BG9" s="53"/>
      <c r="BH9" s="41"/>
      <c r="BI9" s="53"/>
      <c r="BJ9" s="41"/>
      <c r="BK9" s="41"/>
      <c r="BL9" s="41"/>
      <c r="BM9" s="42"/>
      <c r="BN9" s="42"/>
    </row>
    <row r="10" spans="1:69" ht="15" customHeight="1" x14ac:dyDescent="0.25">
      <c r="A10" s="33"/>
      <c r="B10" s="43" t="s">
        <v>38</v>
      </c>
      <c r="C10" s="43">
        <v>9414</v>
      </c>
      <c r="D10" t="s">
        <v>116</v>
      </c>
      <c r="E10" t="s">
        <v>117</v>
      </c>
      <c r="F10" t="s">
        <v>112</v>
      </c>
      <c r="G10" t="s">
        <v>17</v>
      </c>
      <c r="H10" t="s">
        <v>81</v>
      </c>
      <c r="I10" t="s">
        <v>110</v>
      </c>
      <c r="J10" t="s">
        <v>82</v>
      </c>
      <c r="K10" t="s">
        <v>113</v>
      </c>
      <c r="L10">
        <v>370</v>
      </c>
      <c r="M10" s="2">
        <v>0.09</v>
      </c>
      <c r="O10">
        <v>500</v>
      </c>
      <c r="P10" s="15">
        <f>O10*M10</f>
        <v>45</v>
      </c>
      <c r="R10" s="21" t="s">
        <v>65</v>
      </c>
      <c r="S10" s="18">
        <v>305</v>
      </c>
      <c r="T10" s="40">
        <v>1</v>
      </c>
      <c r="U10" s="25">
        <f>S10*T10</f>
        <v>305</v>
      </c>
      <c r="V10" s="18">
        <v>70</v>
      </c>
      <c r="W10" s="44"/>
      <c r="X10" s="44">
        <v>55</v>
      </c>
      <c r="Y10" s="44"/>
      <c r="Z10" s="18">
        <v>13</v>
      </c>
      <c r="AE10" s="25">
        <f>SUM(U10:AD10)</f>
        <v>443</v>
      </c>
      <c r="AF10" s="25">
        <f>ROUND(AE10*10%,0)</f>
        <v>44</v>
      </c>
      <c r="AG10" s="25">
        <v>0</v>
      </c>
      <c r="AH10" s="25">
        <v>0</v>
      </c>
      <c r="AI10" s="25">
        <v>0</v>
      </c>
      <c r="AK10" s="26">
        <f>SUM(AE10:AI10)</f>
        <v>487</v>
      </c>
      <c r="AL10" s="32">
        <f>ROUND(M10*AK10,0)</f>
        <v>44</v>
      </c>
      <c r="BG10" s="46"/>
      <c r="BH10" s="46"/>
      <c r="BI10" s="47"/>
      <c r="BJ10" s="46"/>
      <c r="BK10" s="46"/>
      <c r="BL10" s="67"/>
      <c r="BM10" s="45"/>
      <c r="BN10" s="45"/>
    </row>
    <row r="11" spans="1:69" ht="15" customHeight="1" x14ac:dyDescent="0.25">
      <c r="A11" s="43"/>
      <c r="B11" s="43"/>
      <c r="C11" s="43"/>
      <c r="W11" s="44"/>
      <c r="X11" s="44"/>
      <c r="Y11" s="44"/>
      <c r="AL11" s="29"/>
      <c r="BH11" s="41"/>
      <c r="BI11" s="41"/>
      <c r="BJ11" s="41"/>
      <c r="BK11" s="41"/>
      <c r="BL11" s="41"/>
      <c r="BM11" s="42"/>
      <c r="BN11" s="42"/>
    </row>
    <row r="12" spans="1:69" ht="15" customHeight="1" x14ac:dyDescent="0.25">
      <c r="A12" s="43">
        <v>3</v>
      </c>
      <c r="B12" s="43" t="s">
        <v>38</v>
      </c>
      <c r="C12" s="43">
        <v>9414</v>
      </c>
      <c r="D12" t="s">
        <v>146</v>
      </c>
      <c r="E12" t="s">
        <v>147</v>
      </c>
      <c r="F12" t="s">
        <v>148</v>
      </c>
      <c r="G12" t="s">
        <v>149</v>
      </c>
      <c r="H12" t="s">
        <v>81</v>
      </c>
      <c r="I12" t="s">
        <v>150</v>
      </c>
      <c r="J12" s="43" t="s">
        <v>18</v>
      </c>
      <c r="K12" t="s">
        <v>109</v>
      </c>
      <c r="L12">
        <v>140</v>
      </c>
      <c r="M12">
        <v>9.5000000000000001E-2</v>
      </c>
      <c r="O12">
        <v>500</v>
      </c>
      <c r="P12" s="15">
        <f>O12*M12</f>
        <v>47.5</v>
      </c>
      <c r="R12" s="21" t="s">
        <v>151</v>
      </c>
      <c r="S12" s="27">
        <v>333</v>
      </c>
      <c r="T12" s="61">
        <v>1</v>
      </c>
      <c r="U12" s="25">
        <f>S12*T12</f>
        <v>333</v>
      </c>
      <c r="V12" s="18">
        <v>13</v>
      </c>
      <c r="W12" s="44"/>
      <c r="X12" s="44">
        <v>150</v>
      </c>
      <c r="Y12" s="44"/>
      <c r="Z12" s="18">
        <v>13</v>
      </c>
      <c r="AA12" s="60">
        <v>13</v>
      </c>
      <c r="AE12" s="25">
        <f>SUM(U12:AD12)</f>
        <v>522</v>
      </c>
      <c r="AF12" s="25">
        <f>ROUND(AE12*10%,0)</f>
        <v>52</v>
      </c>
      <c r="AG12" s="25">
        <v>0</v>
      </c>
      <c r="AH12" s="25">
        <v>0</v>
      </c>
      <c r="AI12" s="25">
        <v>0</v>
      </c>
      <c r="AK12" s="26">
        <f>SUM(AE12:AI12)</f>
        <v>574</v>
      </c>
      <c r="AL12" s="32">
        <f>ROUND(M12*AK12,0)</f>
        <v>55</v>
      </c>
      <c r="AM12">
        <v>72</v>
      </c>
      <c r="AN12">
        <v>18</v>
      </c>
      <c r="AO12">
        <v>3</v>
      </c>
      <c r="AP12">
        <v>3</v>
      </c>
      <c r="AS12">
        <v>10</v>
      </c>
      <c r="AV12">
        <v>7.5</v>
      </c>
      <c r="BD12">
        <v>30</v>
      </c>
      <c r="BG12" s="53">
        <f>SUM(AL12:BF13)</f>
        <v>303.5</v>
      </c>
      <c r="BH12" s="72">
        <v>0.03</v>
      </c>
      <c r="BI12" s="53">
        <f>BG12*BH12+BG12</f>
        <v>312.60500000000002</v>
      </c>
      <c r="BJ12" s="72">
        <v>0.14000000000000001</v>
      </c>
      <c r="BK12" s="53">
        <f>BI12*BJ12+BI12</f>
        <v>356.36970000000002</v>
      </c>
      <c r="BL12" s="53">
        <v>92</v>
      </c>
      <c r="BM12" s="42">
        <f>BK12/BL12</f>
        <v>3.8735836956521741</v>
      </c>
      <c r="BN12" s="42"/>
      <c r="BO12" s="73">
        <v>3.95</v>
      </c>
    </row>
    <row r="13" spans="1:69" ht="15" customHeight="1" x14ac:dyDescent="0.25">
      <c r="A13" s="43"/>
      <c r="B13" s="43"/>
      <c r="C13" s="43"/>
      <c r="F13" t="s">
        <v>152</v>
      </c>
      <c r="G13" t="s">
        <v>153</v>
      </c>
      <c r="H13" t="s">
        <v>81</v>
      </c>
      <c r="I13" t="s">
        <v>150</v>
      </c>
      <c r="J13" t="s">
        <v>152</v>
      </c>
      <c r="K13" t="s">
        <v>154</v>
      </c>
      <c r="L13">
        <v>40</v>
      </c>
      <c r="N13">
        <v>3</v>
      </c>
      <c r="O13">
        <v>500</v>
      </c>
      <c r="Q13" s="32">
        <f>N13*O13</f>
        <v>1500</v>
      </c>
      <c r="W13" s="44"/>
      <c r="X13" s="44"/>
      <c r="Y13" s="44"/>
      <c r="AK13" s="23">
        <v>35</v>
      </c>
      <c r="AL13" s="32">
        <f>ROUND(N13*AK13,0)</f>
        <v>105</v>
      </c>
      <c r="BH13" s="41"/>
      <c r="BI13" s="41"/>
      <c r="BJ13" s="41"/>
      <c r="BK13" s="41"/>
      <c r="BL13" s="41"/>
      <c r="BM13" s="42"/>
      <c r="BN13" s="42"/>
    </row>
    <row r="14" spans="1:69" ht="15" customHeight="1" x14ac:dyDescent="0.25">
      <c r="A14" s="43"/>
      <c r="B14" s="43"/>
      <c r="C14" s="43"/>
      <c r="W14" s="44"/>
      <c r="X14" s="44"/>
      <c r="Y14" s="44"/>
      <c r="AL14" s="29"/>
      <c r="BH14" s="41"/>
      <c r="BI14" s="41"/>
      <c r="BJ14" s="41"/>
      <c r="BK14" s="41"/>
      <c r="BL14" s="41"/>
      <c r="BM14" s="42"/>
      <c r="BN14" s="42"/>
    </row>
    <row r="15" spans="1:69" ht="15" customHeight="1" x14ac:dyDescent="0.25">
      <c r="A15" s="43"/>
      <c r="B15" s="43"/>
      <c r="C15" s="43"/>
      <c r="W15" s="44"/>
      <c r="X15" s="44"/>
      <c r="Y15" s="44"/>
      <c r="AL15" s="29"/>
      <c r="BH15" s="41"/>
      <c r="BI15" s="41"/>
      <c r="BJ15" s="41"/>
      <c r="BK15" s="41"/>
      <c r="BL15" s="41"/>
      <c r="BM15" s="42"/>
      <c r="BN15" s="42"/>
    </row>
    <row r="16" spans="1:69" ht="15" customHeight="1" x14ac:dyDescent="0.25">
      <c r="A16" s="43">
        <v>4</v>
      </c>
      <c r="B16" s="43" t="s">
        <v>38</v>
      </c>
      <c r="C16" s="43">
        <v>9414</v>
      </c>
      <c r="D16" t="s">
        <v>136</v>
      </c>
      <c r="E16" t="s">
        <v>137</v>
      </c>
      <c r="F16" s="43" t="s">
        <v>138</v>
      </c>
      <c r="G16" t="s">
        <v>40</v>
      </c>
      <c r="H16" t="s">
        <v>157</v>
      </c>
      <c r="I16" t="s">
        <v>39</v>
      </c>
      <c r="J16" t="s">
        <v>139</v>
      </c>
      <c r="K16" t="s">
        <v>184</v>
      </c>
      <c r="L16">
        <v>300</v>
      </c>
      <c r="M16" s="2">
        <v>0.15</v>
      </c>
      <c r="O16">
        <v>500</v>
      </c>
      <c r="P16" s="15">
        <f>O16*M16</f>
        <v>75</v>
      </c>
      <c r="R16" s="21" t="s">
        <v>172</v>
      </c>
      <c r="S16" s="18">
        <v>0</v>
      </c>
      <c r="T16" s="40">
        <v>0</v>
      </c>
      <c r="U16" s="25">
        <v>0</v>
      </c>
      <c r="V16" s="18">
        <v>0</v>
      </c>
      <c r="W16" s="44"/>
      <c r="X16" s="44"/>
      <c r="Y16" s="44">
        <v>0</v>
      </c>
      <c r="Z16" s="18">
        <v>0</v>
      </c>
      <c r="AA16" s="60">
        <v>0</v>
      </c>
      <c r="AB16" s="60">
        <v>0</v>
      </c>
      <c r="AE16" s="25">
        <v>0</v>
      </c>
      <c r="AF16" s="25">
        <v>0</v>
      </c>
      <c r="AG16" s="25">
        <v>0</v>
      </c>
      <c r="AH16" s="25">
        <v>0</v>
      </c>
      <c r="AI16" s="25">
        <v>0</v>
      </c>
      <c r="AJ16" s="25"/>
      <c r="AK16" s="26">
        <v>900</v>
      </c>
      <c r="AL16" s="32">
        <f>ROUND(M16*AK16,0)</f>
        <v>135</v>
      </c>
      <c r="AM16">
        <v>135</v>
      </c>
      <c r="AN16">
        <v>18</v>
      </c>
      <c r="AO16">
        <v>3</v>
      </c>
      <c r="AP16">
        <v>3</v>
      </c>
      <c r="AQ16">
        <v>1</v>
      </c>
      <c r="AS16">
        <v>5</v>
      </c>
      <c r="BD16">
        <v>4</v>
      </c>
      <c r="BE16">
        <v>8</v>
      </c>
      <c r="BG16" s="53">
        <f>SUM(AL16:BF18)</f>
        <v>532</v>
      </c>
      <c r="BH16" s="72">
        <f>ROUND(BG16*0%,0)</f>
        <v>0</v>
      </c>
      <c r="BI16" s="53">
        <f>BG16+BH16</f>
        <v>532</v>
      </c>
      <c r="BJ16" s="72">
        <v>-0.1</v>
      </c>
      <c r="BK16" s="53">
        <f>BI16*BJ16+BI16</f>
        <v>478.8</v>
      </c>
      <c r="BL16" s="53">
        <v>92</v>
      </c>
      <c r="BM16" s="42">
        <f>BK16/BL16</f>
        <v>5.2043478260869565</v>
      </c>
      <c r="BN16" s="42"/>
      <c r="BO16" s="73">
        <v>5</v>
      </c>
    </row>
    <row r="17" spans="1:66" ht="15" customHeight="1" x14ac:dyDescent="0.25">
      <c r="A17" s="43"/>
      <c r="B17" s="43"/>
      <c r="C17" s="43"/>
      <c r="F17" s="43"/>
      <c r="G17" s="71"/>
      <c r="R17" s="21" t="s">
        <v>143</v>
      </c>
      <c r="S17" s="18">
        <v>500</v>
      </c>
      <c r="T17" s="40">
        <v>0.3</v>
      </c>
      <c r="U17" s="25">
        <f>S17*T17</f>
        <v>150</v>
      </c>
      <c r="W17" s="44"/>
      <c r="X17" s="44"/>
      <c r="Y17" s="44"/>
      <c r="AA17" s="60"/>
      <c r="AB17" s="60"/>
      <c r="AE17" s="25"/>
      <c r="AF17" s="25"/>
      <c r="AG17" s="25"/>
      <c r="AH17" s="25"/>
      <c r="AI17" s="25"/>
      <c r="AJ17" s="25"/>
      <c r="AK17" s="26"/>
      <c r="AL17" s="32"/>
      <c r="BH17" s="41"/>
      <c r="BI17" s="41"/>
      <c r="BJ17" s="41"/>
      <c r="BK17" s="41"/>
      <c r="BL17" s="41"/>
      <c r="BM17" s="42"/>
      <c r="BN17" s="42"/>
    </row>
    <row r="18" spans="1:66" ht="15" customHeight="1" x14ac:dyDescent="0.25">
      <c r="A18" s="43"/>
      <c r="B18" s="43" t="s">
        <v>38</v>
      </c>
      <c r="C18" s="43">
        <v>9414</v>
      </c>
      <c r="D18" t="s">
        <v>136</v>
      </c>
      <c r="E18" t="s">
        <v>137</v>
      </c>
      <c r="F18" t="s">
        <v>140</v>
      </c>
      <c r="G18" t="s">
        <v>141</v>
      </c>
      <c r="H18" t="s">
        <v>157</v>
      </c>
      <c r="I18" t="s">
        <v>39</v>
      </c>
      <c r="J18" t="s">
        <v>140</v>
      </c>
      <c r="K18" t="s">
        <v>142</v>
      </c>
      <c r="L18">
        <v>40</v>
      </c>
      <c r="N18" s="32">
        <v>2.2000000000000002</v>
      </c>
      <c r="O18">
        <v>500</v>
      </c>
      <c r="Q18" s="32">
        <f>N18*O18</f>
        <v>1100</v>
      </c>
      <c r="W18" s="44"/>
      <c r="X18" s="44"/>
      <c r="Y18" s="44"/>
      <c r="AK18" s="23">
        <v>100</v>
      </c>
      <c r="AL18" s="32">
        <f>ROUND(N18*AK18,0)</f>
        <v>220</v>
      </c>
      <c r="BH18" s="41"/>
      <c r="BI18" s="41"/>
      <c r="BJ18" s="41"/>
      <c r="BK18" s="41"/>
      <c r="BL18" s="41"/>
      <c r="BM18" s="42"/>
      <c r="BN18" s="42"/>
    </row>
    <row r="19" spans="1:66" ht="15" customHeight="1" x14ac:dyDescent="0.25">
      <c r="A19" s="43"/>
      <c r="B19" s="43"/>
      <c r="C19" s="43"/>
      <c r="N19" s="32"/>
      <c r="Q19" s="32"/>
      <c r="W19" s="44"/>
      <c r="X19" s="44"/>
      <c r="Y19" s="44"/>
      <c r="AL19" s="32"/>
      <c r="BH19" s="41"/>
      <c r="BI19" s="41"/>
      <c r="BJ19" s="41"/>
      <c r="BK19" s="41"/>
      <c r="BL19" s="41"/>
      <c r="BM19" s="42"/>
      <c r="BN19" s="42"/>
    </row>
    <row r="20" spans="1:66" ht="15" customHeight="1" x14ac:dyDescent="0.25">
      <c r="A20" s="43" t="s">
        <v>186</v>
      </c>
      <c r="B20" s="43" t="s">
        <v>38</v>
      </c>
      <c r="C20" s="43">
        <v>9414</v>
      </c>
      <c r="D20" t="s">
        <v>136</v>
      </c>
      <c r="E20" t="s">
        <v>137</v>
      </c>
      <c r="F20" t="s">
        <v>98</v>
      </c>
      <c r="G20" t="s">
        <v>181</v>
      </c>
      <c r="H20" t="s">
        <v>157</v>
      </c>
      <c r="I20" t="s">
        <v>39</v>
      </c>
      <c r="J20" s="43" t="s">
        <v>18</v>
      </c>
      <c r="K20" t="s">
        <v>109</v>
      </c>
      <c r="L20">
        <v>200</v>
      </c>
      <c r="M20">
        <v>0.114</v>
      </c>
      <c r="N20" s="32"/>
      <c r="O20">
        <v>500</v>
      </c>
      <c r="P20" s="15">
        <f>O20*M20</f>
        <v>57</v>
      </c>
      <c r="Q20" s="32"/>
      <c r="R20" s="21" t="s">
        <v>190</v>
      </c>
      <c r="S20" s="18">
        <v>315</v>
      </c>
      <c r="T20" s="40">
        <v>1</v>
      </c>
      <c r="U20" s="25">
        <f>S20*T20</f>
        <v>315</v>
      </c>
      <c r="V20" s="18">
        <v>13</v>
      </c>
      <c r="W20" s="44"/>
      <c r="X20" s="44">
        <v>130</v>
      </c>
      <c r="Y20" s="44"/>
      <c r="Z20" s="18">
        <v>12</v>
      </c>
      <c r="AA20" s="69">
        <v>13</v>
      </c>
      <c r="AB20" s="69">
        <v>0</v>
      </c>
      <c r="AC20" s="69">
        <v>8</v>
      </c>
      <c r="AE20" s="25">
        <f>SUM(U20:AD21)</f>
        <v>491</v>
      </c>
      <c r="AF20" s="25">
        <f>ROUND(AE20*10%,0)</f>
        <v>49</v>
      </c>
      <c r="AG20" s="25">
        <v>0</v>
      </c>
      <c r="AH20" s="25">
        <v>0</v>
      </c>
      <c r="AI20" s="25">
        <v>0</v>
      </c>
      <c r="AJ20" s="25"/>
      <c r="AK20" s="26">
        <f>SUM(AE20:AI20)</f>
        <v>540</v>
      </c>
      <c r="AL20" s="32">
        <f>ROUND(M20*AK20,0)</f>
        <v>62</v>
      </c>
      <c r="AM20">
        <v>105</v>
      </c>
      <c r="AN20">
        <v>18</v>
      </c>
      <c r="AO20">
        <v>3</v>
      </c>
      <c r="AP20">
        <v>3</v>
      </c>
      <c r="AQ20">
        <v>1</v>
      </c>
      <c r="AS20">
        <v>5</v>
      </c>
      <c r="BD20">
        <v>4</v>
      </c>
      <c r="BE20">
        <v>8</v>
      </c>
      <c r="BG20" s="53">
        <f>SUM(AL20:BF21)</f>
        <v>429</v>
      </c>
      <c r="BH20" s="72">
        <v>0.03</v>
      </c>
      <c r="BI20" s="53">
        <f>BG20*BH20+BG20</f>
        <v>441.87</v>
      </c>
      <c r="BJ20" s="72">
        <v>0.04</v>
      </c>
      <c r="BK20" s="53">
        <f>BI20*BJ20+BI20</f>
        <v>459.54480000000001</v>
      </c>
      <c r="BL20" s="53">
        <v>92</v>
      </c>
      <c r="BM20" s="42">
        <f>BK20/BL20</f>
        <v>4.9950521739130433</v>
      </c>
      <c r="BN20" s="42"/>
    </row>
    <row r="21" spans="1:66" ht="15" customHeight="1" x14ac:dyDescent="0.25">
      <c r="A21" s="43"/>
      <c r="B21" s="43" t="s">
        <v>38</v>
      </c>
      <c r="C21" s="43">
        <v>9414</v>
      </c>
      <c r="D21" t="s">
        <v>136</v>
      </c>
      <c r="E21" t="s">
        <v>137</v>
      </c>
      <c r="F21" t="s">
        <v>140</v>
      </c>
      <c r="G21" t="s">
        <v>141</v>
      </c>
      <c r="H21" t="s">
        <v>157</v>
      </c>
      <c r="I21" t="s">
        <v>39</v>
      </c>
      <c r="J21" t="s">
        <v>140</v>
      </c>
      <c r="K21" t="s">
        <v>142</v>
      </c>
      <c r="L21">
        <v>40</v>
      </c>
      <c r="N21" s="32">
        <v>2.2000000000000002</v>
      </c>
      <c r="O21">
        <v>500</v>
      </c>
      <c r="Q21" s="32">
        <f>N21*O21</f>
        <v>1100</v>
      </c>
      <c r="W21" s="44"/>
      <c r="X21" s="44"/>
      <c r="Y21" s="44"/>
      <c r="AK21" s="23">
        <v>100</v>
      </c>
      <c r="AL21" s="32">
        <f>ROUND(N21*AK21,0)</f>
        <v>220</v>
      </c>
      <c r="BH21" s="41"/>
      <c r="BI21" s="41"/>
      <c r="BJ21" s="41"/>
      <c r="BK21" s="41"/>
      <c r="BL21" s="41"/>
      <c r="BM21" s="42"/>
      <c r="BN21" s="42"/>
    </row>
    <row r="22" spans="1:66" ht="15" customHeight="1" x14ac:dyDescent="0.25">
      <c r="A22" s="43"/>
      <c r="B22" s="43"/>
      <c r="C22" s="43"/>
      <c r="N22" s="32"/>
      <c r="Q22" s="32"/>
      <c r="W22" s="44"/>
      <c r="X22" s="44"/>
      <c r="Y22" s="44"/>
      <c r="AL22" s="32"/>
      <c r="BH22" s="41"/>
      <c r="BI22" s="41"/>
      <c r="BJ22" s="41"/>
      <c r="BK22" s="41"/>
      <c r="BL22" s="41"/>
      <c r="BM22" s="42"/>
      <c r="BN22" s="42"/>
    </row>
    <row r="23" spans="1:66" ht="15" customHeight="1" x14ac:dyDescent="0.25">
      <c r="A23" s="43" t="s">
        <v>187</v>
      </c>
      <c r="B23" s="43" t="s">
        <v>38</v>
      </c>
      <c r="C23" s="43">
        <v>9414</v>
      </c>
      <c r="D23" t="s">
        <v>136</v>
      </c>
      <c r="E23" t="s">
        <v>137</v>
      </c>
      <c r="F23" t="s">
        <v>98</v>
      </c>
      <c r="G23" t="s">
        <v>181</v>
      </c>
      <c r="H23" t="s">
        <v>157</v>
      </c>
      <c r="I23" t="s">
        <v>39</v>
      </c>
      <c r="J23" t="s">
        <v>188</v>
      </c>
      <c r="K23" t="s">
        <v>189</v>
      </c>
      <c r="L23">
        <v>200</v>
      </c>
      <c r="M23">
        <v>0.114</v>
      </c>
      <c r="N23" s="32"/>
      <c r="O23">
        <v>500</v>
      </c>
      <c r="P23" s="15">
        <f>O23*M23</f>
        <v>57</v>
      </c>
      <c r="Q23" s="32"/>
      <c r="R23" s="21" t="s">
        <v>64</v>
      </c>
      <c r="S23" s="18">
        <v>333</v>
      </c>
      <c r="T23" s="40">
        <v>1</v>
      </c>
      <c r="U23" s="25">
        <f>S23*T23</f>
        <v>333</v>
      </c>
      <c r="V23" s="18">
        <v>65</v>
      </c>
      <c r="W23" s="44">
        <v>20</v>
      </c>
      <c r="X23" s="44">
        <v>130</v>
      </c>
      <c r="Y23" s="44"/>
      <c r="Z23" s="18">
        <v>12</v>
      </c>
      <c r="AA23" s="69">
        <v>13</v>
      </c>
      <c r="AB23" s="69">
        <v>0</v>
      </c>
      <c r="AC23" s="69">
        <v>8</v>
      </c>
      <c r="AE23" s="25">
        <f>SUM(U23:AD24)</f>
        <v>581</v>
      </c>
      <c r="AF23" s="25">
        <f>ROUND(AE23*10%,0)</f>
        <v>58</v>
      </c>
      <c r="AG23" s="25">
        <v>0</v>
      </c>
      <c r="AH23" s="25">
        <v>0</v>
      </c>
      <c r="AI23" s="25">
        <v>0</v>
      </c>
      <c r="AJ23" s="25"/>
      <c r="AK23" s="26">
        <f>SUM(AE23:AI23)</f>
        <v>639</v>
      </c>
      <c r="AL23" s="32">
        <f>ROUND(M23*AK23,0)</f>
        <v>73</v>
      </c>
      <c r="AM23">
        <v>105</v>
      </c>
      <c r="AN23">
        <v>18</v>
      </c>
      <c r="AO23">
        <v>3</v>
      </c>
      <c r="AP23">
        <v>3</v>
      </c>
      <c r="AQ23">
        <v>1</v>
      </c>
      <c r="AS23">
        <v>5</v>
      </c>
      <c r="BD23">
        <v>4</v>
      </c>
      <c r="BE23">
        <v>8</v>
      </c>
      <c r="BG23" s="53">
        <f>SUM(AL23:BF24)</f>
        <v>440</v>
      </c>
      <c r="BH23" s="72">
        <v>0.01</v>
      </c>
      <c r="BI23" s="53">
        <f>BG23*BH23+BG23</f>
        <v>444.4</v>
      </c>
      <c r="BJ23" s="72">
        <v>0.03</v>
      </c>
      <c r="BK23" s="53">
        <f>BI23*BJ23+BI23</f>
        <v>457.73199999999997</v>
      </c>
      <c r="BL23" s="53">
        <v>93</v>
      </c>
      <c r="BM23" s="42">
        <f>BK23/BL23</f>
        <v>4.9218494623655911</v>
      </c>
      <c r="BN23" s="42"/>
    </row>
    <row r="24" spans="1:66" ht="15" customHeight="1" x14ac:dyDescent="0.25">
      <c r="A24" s="43"/>
      <c r="B24" s="43" t="s">
        <v>38</v>
      </c>
      <c r="C24" s="43">
        <v>9414</v>
      </c>
      <c r="D24" t="s">
        <v>136</v>
      </c>
      <c r="E24" t="s">
        <v>137</v>
      </c>
      <c r="F24" t="s">
        <v>140</v>
      </c>
      <c r="G24" t="s">
        <v>141</v>
      </c>
      <c r="H24" t="s">
        <v>157</v>
      </c>
      <c r="I24" t="s">
        <v>39</v>
      </c>
      <c r="J24" t="s">
        <v>140</v>
      </c>
      <c r="K24" t="s">
        <v>142</v>
      </c>
      <c r="N24" s="32">
        <v>2.2000000000000002</v>
      </c>
      <c r="O24">
        <v>500</v>
      </c>
      <c r="Q24" s="32">
        <f>N24*O24</f>
        <v>1100</v>
      </c>
      <c r="W24" s="44"/>
      <c r="X24" s="44"/>
      <c r="Y24" s="44"/>
      <c r="AK24" s="23">
        <v>100</v>
      </c>
      <c r="AL24" s="32">
        <f>ROUND(N24*AK24,0)</f>
        <v>220</v>
      </c>
      <c r="BH24" s="41"/>
      <c r="BI24" s="41"/>
      <c r="BJ24" s="41"/>
      <c r="BK24" s="41"/>
      <c r="BL24" s="41"/>
      <c r="BM24" s="42"/>
      <c r="BN24" s="42"/>
    </row>
    <row r="25" spans="1:66" ht="15" customHeight="1" x14ac:dyDescent="0.25">
      <c r="A25" s="43"/>
      <c r="B25" s="43"/>
      <c r="C25" s="43"/>
      <c r="N25" s="32"/>
      <c r="Q25" s="32"/>
      <c r="W25" s="44"/>
      <c r="X25" s="44"/>
      <c r="Y25" s="44"/>
      <c r="AL25" s="32"/>
      <c r="BH25" s="41"/>
      <c r="BI25" s="41"/>
      <c r="BJ25" s="41"/>
      <c r="BK25" s="41"/>
      <c r="BL25" s="41"/>
      <c r="BM25" s="42"/>
      <c r="BN25" s="42"/>
    </row>
    <row r="26" spans="1:66" ht="15" customHeight="1" x14ac:dyDescent="0.25">
      <c r="A26" s="43" t="s">
        <v>192</v>
      </c>
      <c r="B26" s="43" t="s">
        <v>38</v>
      </c>
      <c r="C26" s="43">
        <v>9414</v>
      </c>
      <c r="D26" t="s">
        <v>136</v>
      </c>
      <c r="E26" t="s">
        <v>137</v>
      </c>
      <c r="F26" t="s">
        <v>98</v>
      </c>
      <c r="G26" t="s">
        <v>181</v>
      </c>
      <c r="H26" t="s">
        <v>157</v>
      </c>
      <c r="I26" t="s">
        <v>39</v>
      </c>
      <c r="J26" s="43" t="s">
        <v>18</v>
      </c>
      <c r="K26" t="s">
        <v>109</v>
      </c>
      <c r="L26">
        <v>180</v>
      </c>
      <c r="M26" s="2">
        <v>0.1</v>
      </c>
      <c r="N26" s="32"/>
      <c r="O26">
        <v>500</v>
      </c>
      <c r="P26" s="15">
        <f>O26*M26</f>
        <v>50</v>
      </c>
      <c r="Q26" s="32"/>
      <c r="R26" s="21" t="s">
        <v>190</v>
      </c>
      <c r="S26" s="18">
        <v>315</v>
      </c>
      <c r="T26" s="40">
        <v>1</v>
      </c>
      <c r="U26" s="25">
        <f>S26*T26</f>
        <v>315</v>
      </c>
      <c r="V26" s="18">
        <v>13</v>
      </c>
      <c r="W26" s="44"/>
      <c r="X26" s="44">
        <v>130</v>
      </c>
      <c r="Y26" s="44"/>
      <c r="Z26" s="18">
        <v>12</v>
      </c>
      <c r="AA26" s="74">
        <v>13</v>
      </c>
      <c r="AB26" s="74">
        <v>0</v>
      </c>
      <c r="AC26" s="74">
        <v>8</v>
      </c>
      <c r="AE26" s="25">
        <f>SUM(U26:AD27)</f>
        <v>491</v>
      </c>
      <c r="AF26" s="25">
        <f>ROUND(AE26*10%,0)</f>
        <v>49</v>
      </c>
      <c r="AG26" s="25">
        <v>0</v>
      </c>
      <c r="AH26" s="25">
        <v>0</v>
      </c>
      <c r="AI26" s="25">
        <v>0</v>
      </c>
      <c r="AJ26" s="25"/>
      <c r="AK26" s="26">
        <f>SUM(AE26:AI26)</f>
        <v>540</v>
      </c>
      <c r="AL26" s="32">
        <f>ROUND(M26*AK26,0)</f>
        <v>54</v>
      </c>
      <c r="AM26">
        <v>105</v>
      </c>
      <c r="AN26">
        <v>18</v>
      </c>
      <c r="AO26">
        <v>3</v>
      </c>
      <c r="AP26">
        <v>3</v>
      </c>
      <c r="AQ26">
        <v>1</v>
      </c>
      <c r="AS26">
        <v>5</v>
      </c>
      <c r="BD26">
        <v>4</v>
      </c>
      <c r="BE26">
        <v>8</v>
      </c>
      <c r="BG26" s="53">
        <f>SUM(AL26:BF27)</f>
        <v>421</v>
      </c>
      <c r="BH26" s="72">
        <v>0.03</v>
      </c>
      <c r="BI26" s="53">
        <f>BG26*BH26+BG26</f>
        <v>433.63</v>
      </c>
      <c r="BJ26" s="72">
        <v>0.05</v>
      </c>
      <c r="BK26" s="53">
        <f>BI26*BJ26+BI26</f>
        <v>455.31150000000002</v>
      </c>
      <c r="BL26" s="53">
        <v>92</v>
      </c>
      <c r="BM26" s="42">
        <f>BK26/BL26</f>
        <v>4.9490380434782608</v>
      </c>
      <c r="BN26" s="42"/>
    </row>
    <row r="27" spans="1:66" ht="15" customHeight="1" x14ac:dyDescent="0.25">
      <c r="A27" s="43"/>
      <c r="B27" s="43" t="s">
        <v>38</v>
      </c>
      <c r="C27" s="43">
        <v>9414</v>
      </c>
      <c r="D27" t="s">
        <v>136</v>
      </c>
      <c r="E27" t="s">
        <v>137</v>
      </c>
      <c r="F27" t="s">
        <v>140</v>
      </c>
      <c r="G27" t="s">
        <v>141</v>
      </c>
      <c r="H27" t="s">
        <v>157</v>
      </c>
      <c r="I27" t="s">
        <v>39</v>
      </c>
      <c r="J27" t="s">
        <v>140</v>
      </c>
      <c r="K27" t="s">
        <v>142</v>
      </c>
      <c r="L27">
        <v>40</v>
      </c>
      <c r="N27" s="32">
        <v>2.2000000000000002</v>
      </c>
      <c r="O27">
        <v>500</v>
      </c>
      <c r="Q27" s="32">
        <f>N27*O27</f>
        <v>1100</v>
      </c>
      <c r="W27" s="44"/>
      <c r="X27" s="44"/>
      <c r="Y27" s="44"/>
      <c r="AK27" s="23">
        <v>100</v>
      </c>
      <c r="AL27" s="32">
        <f>ROUND(N27*AK27,0)</f>
        <v>220</v>
      </c>
      <c r="BH27" s="41"/>
      <c r="BI27" s="41"/>
      <c r="BJ27" s="41"/>
      <c r="BK27" s="41"/>
      <c r="BL27" s="41"/>
      <c r="BM27" s="42"/>
      <c r="BN27" s="42"/>
    </row>
    <row r="28" spans="1:66" ht="15" customHeight="1" x14ac:dyDescent="0.25">
      <c r="A28" s="43"/>
      <c r="B28" s="43"/>
      <c r="C28" s="43"/>
      <c r="N28" s="32"/>
      <c r="Q28" s="32"/>
      <c r="W28" s="44"/>
      <c r="X28" s="44"/>
      <c r="Y28" s="44"/>
      <c r="AL28" s="32"/>
      <c r="BH28" s="41"/>
      <c r="BI28" s="41"/>
      <c r="BJ28" s="41"/>
      <c r="BK28" s="41"/>
      <c r="BL28" s="41"/>
      <c r="BM28" s="42"/>
      <c r="BN28" s="42"/>
    </row>
    <row r="29" spans="1:66" ht="15" customHeight="1" x14ac:dyDescent="0.25">
      <c r="A29" s="43" t="s">
        <v>193</v>
      </c>
      <c r="B29" s="43" t="s">
        <v>38</v>
      </c>
      <c r="C29" s="43">
        <v>9414</v>
      </c>
      <c r="D29" t="s">
        <v>136</v>
      </c>
      <c r="E29" t="s">
        <v>137</v>
      </c>
      <c r="F29" t="s">
        <v>98</v>
      </c>
      <c r="G29" t="s">
        <v>181</v>
      </c>
      <c r="H29" t="s">
        <v>157</v>
      </c>
      <c r="I29" t="s">
        <v>39</v>
      </c>
      <c r="J29" t="s">
        <v>188</v>
      </c>
      <c r="K29" t="s">
        <v>189</v>
      </c>
      <c r="L29">
        <v>180</v>
      </c>
      <c r="M29" s="2">
        <v>0.1</v>
      </c>
      <c r="N29" s="32"/>
      <c r="O29">
        <v>500</v>
      </c>
      <c r="P29" s="15">
        <f>O29*M29</f>
        <v>50</v>
      </c>
      <c r="Q29" s="32"/>
      <c r="R29" s="21" t="s">
        <v>64</v>
      </c>
      <c r="S29" s="18">
        <v>333</v>
      </c>
      <c r="T29" s="40">
        <v>1</v>
      </c>
      <c r="U29" s="25">
        <f>S29*T29</f>
        <v>333</v>
      </c>
      <c r="V29" s="18">
        <v>65</v>
      </c>
      <c r="W29" s="44">
        <v>20</v>
      </c>
      <c r="X29" s="44">
        <v>130</v>
      </c>
      <c r="Y29" s="44"/>
      <c r="Z29" s="18">
        <v>12</v>
      </c>
      <c r="AA29" s="74">
        <v>13</v>
      </c>
      <c r="AB29" s="74">
        <v>0</v>
      </c>
      <c r="AC29" s="74">
        <v>8</v>
      </c>
      <c r="AE29" s="25">
        <f>SUM(U29:AD30)</f>
        <v>581</v>
      </c>
      <c r="AF29" s="25">
        <f>ROUND(AE29*10%,0)</f>
        <v>58</v>
      </c>
      <c r="AG29" s="25">
        <v>0</v>
      </c>
      <c r="AH29" s="25">
        <v>0</v>
      </c>
      <c r="AI29" s="25">
        <v>0</v>
      </c>
      <c r="AJ29" s="25"/>
      <c r="AK29" s="26">
        <f>SUM(AE29:AI29)</f>
        <v>639</v>
      </c>
      <c r="AL29" s="32">
        <f>ROUND(M29*AK29,0)</f>
        <v>64</v>
      </c>
      <c r="AM29">
        <v>105</v>
      </c>
      <c r="AN29">
        <v>18</v>
      </c>
      <c r="AO29">
        <v>3</v>
      </c>
      <c r="AP29">
        <v>3</v>
      </c>
      <c r="AQ29">
        <v>1</v>
      </c>
      <c r="AS29">
        <v>5</v>
      </c>
      <c r="BD29">
        <v>4</v>
      </c>
      <c r="BE29">
        <v>8</v>
      </c>
      <c r="BG29" s="53">
        <f>SUM(AL29:BF30)</f>
        <v>431</v>
      </c>
      <c r="BH29" s="72">
        <v>0.03</v>
      </c>
      <c r="BI29" s="53">
        <f>BG29*BH29+BG29</f>
        <v>443.93</v>
      </c>
      <c r="BJ29" s="72">
        <v>0.05</v>
      </c>
      <c r="BK29" s="53">
        <f>BI29*BJ29+BI29</f>
        <v>466.12650000000002</v>
      </c>
      <c r="BL29" s="53">
        <v>92</v>
      </c>
      <c r="BM29" s="42">
        <f>BK29/BL29</f>
        <v>5.066592391304348</v>
      </c>
      <c r="BN29" s="42"/>
    </row>
    <row r="30" spans="1:66" ht="15" customHeight="1" x14ac:dyDescent="0.25">
      <c r="A30" s="43"/>
      <c r="B30" s="43" t="s">
        <v>38</v>
      </c>
      <c r="C30" s="43">
        <v>9414</v>
      </c>
      <c r="D30" t="s">
        <v>136</v>
      </c>
      <c r="E30" t="s">
        <v>137</v>
      </c>
      <c r="F30" t="s">
        <v>140</v>
      </c>
      <c r="G30" t="s">
        <v>141</v>
      </c>
      <c r="H30" t="s">
        <v>157</v>
      </c>
      <c r="I30" t="s">
        <v>39</v>
      </c>
      <c r="J30" t="s">
        <v>140</v>
      </c>
      <c r="K30" t="s">
        <v>142</v>
      </c>
      <c r="N30" s="32">
        <v>2.2000000000000002</v>
      </c>
      <c r="O30">
        <v>500</v>
      </c>
      <c r="Q30" s="32">
        <f>N30*O30</f>
        <v>1100</v>
      </c>
      <c r="W30" s="44"/>
      <c r="X30" s="44"/>
      <c r="Y30" s="44"/>
      <c r="AK30" s="23">
        <v>100</v>
      </c>
      <c r="AL30" s="32">
        <f>ROUND(N30*AK30,0)</f>
        <v>220</v>
      </c>
      <c r="BH30" s="41"/>
      <c r="BI30" s="41"/>
      <c r="BJ30" s="41"/>
      <c r="BK30" s="41"/>
      <c r="BL30" s="41"/>
      <c r="BM30" s="42"/>
      <c r="BN30" s="42"/>
    </row>
    <row r="31" spans="1:66" ht="15" customHeight="1" x14ac:dyDescent="0.25">
      <c r="A31" s="43"/>
      <c r="B31" s="43"/>
      <c r="C31" s="43"/>
      <c r="N31" s="32"/>
      <c r="Q31" s="32"/>
      <c r="W31" s="44"/>
      <c r="X31" s="44"/>
      <c r="Y31" s="44"/>
      <c r="AL31" s="32"/>
      <c r="BH31" s="41"/>
      <c r="BI31" s="41"/>
      <c r="BJ31" s="41"/>
      <c r="BK31" s="41"/>
      <c r="BL31" s="41"/>
      <c r="BM31" s="42"/>
      <c r="BN31" s="42"/>
    </row>
    <row r="32" spans="1:66" ht="15" customHeight="1" x14ac:dyDescent="0.25">
      <c r="A32" s="43"/>
      <c r="B32" s="43"/>
      <c r="C32" s="43"/>
      <c r="N32" s="32"/>
      <c r="Q32" s="32"/>
      <c r="W32" s="44"/>
      <c r="X32" s="44"/>
      <c r="Y32" s="44"/>
      <c r="AL32" s="32"/>
      <c r="BH32" s="41"/>
      <c r="BI32" s="41"/>
      <c r="BJ32" s="41"/>
      <c r="BK32" s="41"/>
      <c r="BL32" s="41"/>
      <c r="BM32" s="42"/>
      <c r="BN32" s="42"/>
    </row>
    <row r="33" spans="1:68" ht="15" customHeight="1" x14ac:dyDescent="0.25">
      <c r="A33" s="43"/>
      <c r="B33" s="43"/>
      <c r="C33" s="43"/>
      <c r="W33" s="44"/>
      <c r="X33" s="44"/>
      <c r="Y33" s="44"/>
      <c r="AL33" s="29"/>
      <c r="BH33" s="41"/>
      <c r="BI33" s="41"/>
      <c r="BJ33" s="41"/>
      <c r="BK33" s="41"/>
      <c r="BL33" s="41"/>
      <c r="BM33" s="42"/>
      <c r="BN33" s="42"/>
    </row>
    <row r="34" spans="1:68" ht="15" customHeight="1" x14ac:dyDescent="0.25">
      <c r="A34" s="16">
        <v>5</v>
      </c>
      <c r="B34" s="33" t="s">
        <v>38</v>
      </c>
      <c r="C34" s="16">
        <v>9414</v>
      </c>
      <c r="D34" t="s">
        <v>94</v>
      </c>
      <c r="E34" s="33" t="s">
        <v>95</v>
      </c>
      <c r="F34" t="s">
        <v>80</v>
      </c>
      <c r="G34" t="s">
        <v>40</v>
      </c>
      <c r="H34" s="33" t="s">
        <v>96</v>
      </c>
      <c r="I34" t="s">
        <v>39</v>
      </c>
      <c r="J34" t="s">
        <v>82</v>
      </c>
      <c r="K34" t="s">
        <v>83</v>
      </c>
      <c r="L34">
        <v>280</v>
      </c>
      <c r="M34">
        <v>0.48499999999999999</v>
      </c>
      <c r="O34">
        <v>500</v>
      </c>
      <c r="P34" s="15">
        <f>O34*M34</f>
        <v>242.5</v>
      </c>
      <c r="R34" s="21" t="s">
        <v>64</v>
      </c>
      <c r="S34" s="18">
        <v>328</v>
      </c>
      <c r="T34" s="40">
        <v>0.7</v>
      </c>
      <c r="U34" s="25">
        <f>S34*T34</f>
        <v>229.6</v>
      </c>
      <c r="V34" s="18">
        <v>25</v>
      </c>
      <c r="W34" s="34"/>
      <c r="X34" s="34"/>
      <c r="Y34" s="34">
        <v>190</v>
      </c>
      <c r="Z34" s="18">
        <v>12</v>
      </c>
      <c r="AA34" s="35">
        <v>13</v>
      </c>
      <c r="AB34" s="35">
        <v>13</v>
      </c>
      <c r="AE34" s="25">
        <f>SUM(U34:AD35)</f>
        <v>571.1</v>
      </c>
      <c r="AF34" s="25">
        <f>ROUND(AE34*10%,0)</f>
        <v>57</v>
      </c>
      <c r="AG34" s="25">
        <v>0</v>
      </c>
      <c r="AH34" s="25">
        <v>0</v>
      </c>
      <c r="AI34" s="25">
        <v>0</v>
      </c>
      <c r="AJ34" s="25"/>
      <c r="AK34" s="26">
        <f>SUM(AE34:AI34)</f>
        <v>628.1</v>
      </c>
      <c r="AL34" s="32">
        <f>ROUND(M34*AK34,0)</f>
        <v>305</v>
      </c>
      <c r="AM34">
        <v>55</v>
      </c>
      <c r="AN34">
        <v>18</v>
      </c>
      <c r="AO34">
        <v>3</v>
      </c>
      <c r="AP34">
        <v>3</v>
      </c>
      <c r="AQ34">
        <v>0</v>
      </c>
      <c r="AR34">
        <v>0</v>
      </c>
      <c r="AS34">
        <v>0</v>
      </c>
      <c r="AW34">
        <v>2</v>
      </c>
      <c r="AX34">
        <v>0</v>
      </c>
      <c r="AY34">
        <v>0</v>
      </c>
      <c r="AZ34">
        <v>20</v>
      </c>
      <c r="BA34">
        <v>30</v>
      </c>
      <c r="BB34">
        <v>0</v>
      </c>
      <c r="BC34">
        <v>0</v>
      </c>
      <c r="BD34">
        <v>0</v>
      </c>
      <c r="BF34">
        <v>0</v>
      </c>
      <c r="BG34" s="54">
        <f>SUM(AL34:BF36)</f>
        <v>460</v>
      </c>
      <c r="BH34" s="72">
        <v>0.03</v>
      </c>
      <c r="BI34" s="53">
        <f>BG34*BH34+BG34</f>
        <v>473.8</v>
      </c>
      <c r="BJ34" s="72">
        <v>0.08</v>
      </c>
      <c r="BK34" s="53">
        <f>BI34*BJ34+BI34</f>
        <v>511.70400000000001</v>
      </c>
      <c r="BL34" s="53">
        <v>92</v>
      </c>
      <c r="BM34" s="42">
        <f>BK34/BL34</f>
        <v>5.5620000000000003</v>
      </c>
      <c r="BN34" s="42"/>
      <c r="BO34" s="73">
        <v>5.55</v>
      </c>
    </row>
    <row r="35" spans="1:68" ht="15" customHeight="1" x14ac:dyDescent="0.25">
      <c r="A35" s="43"/>
      <c r="R35" s="21" t="s">
        <v>65</v>
      </c>
      <c r="S35" s="18">
        <v>295</v>
      </c>
      <c r="T35" s="40">
        <v>0.3</v>
      </c>
      <c r="U35" s="25">
        <f>S35*T35</f>
        <v>88.5</v>
      </c>
      <c r="W35" s="44"/>
      <c r="X35" s="44"/>
      <c r="Y35" s="44"/>
      <c r="AA35" s="48"/>
      <c r="AB35" s="48"/>
      <c r="AE35" s="25"/>
      <c r="AF35" s="25"/>
      <c r="AG35" s="25"/>
      <c r="AH35" s="25"/>
      <c r="AI35" s="25"/>
      <c r="AJ35" s="25"/>
      <c r="AK35" s="26"/>
      <c r="AL35" s="32"/>
      <c r="BG35" s="54"/>
      <c r="BH35" s="41"/>
      <c r="BI35" s="53"/>
      <c r="BJ35" s="41"/>
      <c r="BK35" s="53"/>
      <c r="BL35" s="53"/>
      <c r="BM35" s="42"/>
      <c r="BN35" s="42"/>
    </row>
    <row r="36" spans="1:68" ht="15" customHeight="1" x14ac:dyDescent="0.25">
      <c r="A36" s="43"/>
      <c r="B36" s="33" t="s">
        <v>38</v>
      </c>
      <c r="C36" s="33">
        <v>9414</v>
      </c>
      <c r="D36" t="s">
        <v>94</v>
      </c>
      <c r="E36" s="33" t="s">
        <v>95</v>
      </c>
      <c r="F36" t="s">
        <v>98</v>
      </c>
      <c r="G36" s="16" t="s">
        <v>97</v>
      </c>
      <c r="H36" s="33" t="s">
        <v>96</v>
      </c>
      <c r="I36" t="s">
        <v>39</v>
      </c>
      <c r="J36" s="33" t="s">
        <v>18</v>
      </c>
      <c r="K36" t="s">
        <v>83</v>
      </c>
      <c r="L36">
        <v>180</v>
      </c>
      <c r="M36">
        <v>0.04</v>
      </c>
      <c r="O36">
        <v>500</v>
      </c>
      <c r="P36" s="15">
        <f>O36*M36</f>
        <v>20</v>
      </c>
      <c r="R36" s="21" t="s">
        <v>118</v>
      </c>
      <c r="S36" s="27">
        <v>311</v>
      </c>
      <c r="T36" s="40">
        <v>1</v>
      </c>
      <c r="U36" s="25">
        <f>S36*T36</f>
        <v>311</v>
      </c>
      <c r="V36" s="18">
        <v>13</v>
      </c>
      <c r="W36" s="44"/>
      <c r="X36" s="44"/>
      <c r="Y36" s="44">
        <v>190</v>
      </c>
      <c r="Z36" s="18">
        <v>12</v>
      </c>
      <c r="AA36" s="48">
        <v>13</v>
      </c>
      <c r="AB36" s="48"/>
      <c r="AE36" s="25">
        <f>SUM(U36:AD37)</f>
        <v>539</v>
      </c>
      <c r="AF36" s="25">
        <f>ROUND(AE36*10%,0)</f>
        <v>54</v>
      </c>
      <c r="AG36" s="25">
        <v>0</v>
      </c>
      <c r="AH36" s="25">
        <v>0</v>
      </c>
      <c r="AI36" s="25">
        <v>0</v>
      </c>
      <c r="AJ36" s="25"/>
      <c r="AK36" s="26">
        <f>SUM(AE36:AI36)</f>
        <v>593</v>
      </c>
      <c r="AL36" s="32">
        <f>ROUND(M36*AK36,0)</f>
        <v>24</v>
      </c>
      <c r="BG36" s="54"/>
      <c r="BH36" s="41"/>
      <c r="BI36" s="53"/>
      <c r="BJ36" s="41"/>
      <c r="BK36" s="53"/>
      <c r="BL36" s="53"/>
      <c r="BM36" s="42"/>
      <c r="BN36" s="42"/>
    </row>
    <row r="37" spans="1:68" ht="15" customHeight="1" x14ac:dyDescent="0.25">
      <c r="A37" s="43"/>
      <c r="B37" s="43"/>
      <c r="C37" s="43"/>
      <c r="E37" s="43"/>
      <c r="H37" s="43"/>
      <c r="P37" s="15"/>
      <c r="T37" s="40"/>
      <c r="U37" s="25"/>
      <c r="W37" s="44"/>
      <c r="X37" s="44"/>
      <c r="Y37" s="44"/>
      <c r="AA37" s="48"/>
      <c r="AB37" s="48"/>
      <c r="AE37" s="25"/>
      <c r="AF37" s="25"/>
      <c r="AG37" s="25"/>
      <c r="AH37" s="25"/>
      <c r="AI37" s="25"/>
      <c r="AJ37" s="25"/>
      <c r="AK37" s="26"/>
      <c r="AL37" s="32"/>
      <c r="BG37" s="53"/>
      <c r="BH37" s="41"/>
      <c r="BI37" s="53"/>
      <c r="BJ37" s="41"/>
      <c r="BK37" s="53"/>
      <c r="BL37" s="53"/>
      <c r="BM37" s="42"/>
      <c r="BN37" s="42"/>
    </row>
    <row r="38" spans="1:68" ht="15" customHeight="1" x14ac:dyDescent="0.25">
      <c r="A38" s="49">
        <v>6</v>
      </c>
      <c r="B38" s="36" t="s">
        <v>38</v>
      </c>
      <c r="C38" s="36">
        <v>9414</v>
      </c>
      <c r="D38" s="14" t="s">
        <v>101</v>
      </c>
      <c r="E38" s="14" t="s">
        <v>102</v>
      </c>
      <c r="F38" s="14" t="s">
        <v>80</v>
      </c>
      <c r="G38" t="s">
        <v>40</v>
      </c>
      <c r="H38" s="13" t="s">
        <v>96</v>
      </c>
      <c r="I38" t="s">
        <v>39</v>
      </c>
      <c r="J38" t="s">
        <v>99</v>
      </c>
      <c r="K38" t="s">
        <v>83</v>
      </c>
      <c r="L38">
        <v>280</v>
      </c>
      <c r="M38" s="2">
        <v>0.26500000000000001</v>
      </c>
      <c r="N38" s="14"/>
      <c r="O38">
        <v>500</v>
      </c>
      <c r="P38" s="15">
        <f>O38*M38</f>
        <v>132.5</v>
      </c>
      <c r="Q38" s="15"/>
      <c r="R38" s="21" t="s">
        <v>64</v>
      </c>
      <c r="S38" s="18">
        <v>328</v>
      </c>
      <c r="T38" s="40">
        <v>0.7</v>
      </c>
      <c r="U38" s="25">
        <f>S38*T38</f>
        <v>229.6</v>
      </c>
      <c r="V38" s="18">
        <v>25</v>
      </c>
      <c r="W38" s="37"/>
      <c r="X38" s="37"/>
      <c r="Y38" s="37">
        <v>190</v>
      </c>
      <c r="Z38" s="18">
        <v>12</v>
      </c>
      <c r="AA38" s="38">
        <v>13</v>
      </c>
      <c r="AB38" s="38">
        <v>13</v>
      </c>
      <c r="AE38" s="25">
        <f>SUM(U38:AD39)</f>
        <v>574.4</v>
      </c>
      <c r="AF38" s="25">
        <f>ROUND(AE38*10%,0)</f>
        <v>57</v>
      </c>
      <c r="AG38" s="25">
        <v>0</v>
      </c>
      <c r="AH38" s="25">
        <v>0</v>
      </c>
      <c r="AI38" s="25">
        <v>0</v>
      </c>
      <c r="AJ38" s="25"/>
      <c r="AK38" s="26">
        <f>SUM(AE38:AI38)</f>
        <v>631.4</v>
      </c>
      <c r="AL38" s="32">
        <f>ROUND(M38*AK38,0)</f>
        <v>167</v>
      </c>
      <c r="AM38">
        <v>62</v>
      </c>
      <c r="AN38">
        <v>18</v>
      </c>
      <c r="AO38">
        <v>3</v>
      </c>
      <c r="AP38">
        <v>3</v>
      </c>
      <c r="AQ38">
        <v>0</v>
      </c>
      <c r="AR38">
        <v>0</v>
      </c>
      <c r="AS38">
        <v>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35</v>
      </c>
      <c r="BA38">
        <v>35</v>
      </c>
      <c r="BB38">
        <v>0</v>
      </c>
      <c r="BC38">
        <v>0</v>
      </c>
      <c r="BD38">
        <v>4</v>
      </c>
      <c r="BE38">
        <v>8</v>
      </c>
      <c r="BF38">
        <v>0</v>
      </c>
      <c r="BG38" s="53">
        <f>SUM(AL38:BF40)</f>
        <v>359</v>
      </c>
      <c r="BH38" s="72">
        <v>0.03</v>
      </c>
      <c r="BI38" s="53">
        <f>BG38*BH38+BG38</f>
        <v>369.77</v>
      </c>
      <c r="BJ38" s="72">
        <v>0.11</v>
      </c>
      <c r="BK38" s="53">
        <f>BI38*BJ38+BI38</f>
        <v>410.44470000000001</v>
      </c>
      <c r="BL38" s="53">
        <v>92</v>
      </c>
      <c r="BM38" s="42">
        <f>BK38/BL38</f>
        <v>4.4613554347826092</v>
      </c>
      <c r="BN38" s="42"/>
      <c r="BO38" s="73">
        <v>4.45</v>
      </c>
    </row>
    <row r="39" spans="1:68" ht="15" customHeight="1" x14ac:dyDescent="0.25">
      <c r="A39" s="55"/>
      <c r="B39" s="13"/>
      <c r="C39" s="13"/>
      <c r="D39" s="14"/>
      <c r="E39" s="14"/>
      <c r="F39" s="14"/>
      <c r="G39" s="13"/>
      <c r="H39" s="13"/>
      <c r="I39" s="13"/>
      <c r="J39" s="13"/>
      <c r="K39" s="13"/>
      <c r="L39" s="14"/>
      <c r="M39" s="15"/>
      <c r="N39" s="14"/>
      <c r="O39" s="14"/>
      <c r="P39" s="15"/>
      <c r="Q39" s="15"/>
      <c r="R39" s="21" t="s">
        <v>65</v>
      </c>
      <c r="S39" s="18">
        <v>306</v>
      </c>
      <c r="T39" s="40">
        <v>0.3</v>
      </c>
      <c r="U39" s="25">
        <f>S39*T39</f>
        <v>91.8</v>
      </c>
      <c r="W39" s="37"/>
      <c r="X39" s="37"/>
      <c r="Y39" s="37"/>
      <c r="AL39" s="32"/>
      <c r="BG39" s="53"/>
      <c r="BH39" s="41"/>
      <c r="BI39" s="53"/>
      <c r="BJ39" s="41"/>
      <c r="BK39" s="53"/>
      <c r="BL39" s="53"/>
      <c r="BM39" s="42"/>
      <c r="BN39" s="42"/>
    </row>
    <row r="40" spans="1:68" ht="15" customHeight="1" x14ac:dyDescent="0.25">
      <c r="A40" s="55"/>
      <c r="B40" s="36" t="s">
        <v>38</v>
      </c>
      <c r="C40" s="36">
        <v>9414</v>
      </c>
      <c r="D40" s="14" t="s">
        <v>101</v>
      </c>
      <c r="E40" s="14" t="s">
        <v>102</v>
      </c>
      <c r="F40" t="s">
        <v>103</v>
      </c>
      <c r="G40" s="13" t="s">
        <v>17</v>
      </c>
      <c r="H40" s="13" t="s">
        <v>96</v>
      </c>
      <c r="I40" t="s">
        <v>39</v>
      </c>
      <c r="J40" s="13" t="s">
        <v>100</v>
      </c>
      <c r="K40" t="s">
        <v>89</v>
      </c>
      <c r="L40">
        <v>370</v>
      </c>
      <c r="M40">
        <v>3.4000000000000002E-2</v>
      </c>
      <c r="N40" s="14"/>
      <c r="O40">
        <v>500</v>
      </c>
      <c r="P40" s="15">
        <f>O40*M40</f>
        <v>17</v>
      </c>
      <c r="Q40" s="15"/>
      <c r="R40" s="21" t="s">
        <v>65</v>
      </c>
      <c r="S40" s="18">
        <v>306</v>
      </c>
      <c r="T40" s="40">
        <v>1</v>
      </c>
      <c r="U40" s="25">
        <f>S40*T40</f>
        <v>306</v>
      </c>
      <c r="V40" s="18">
        <v>75</v>
      </c>
      <c r="W40" s="37"/>
      <c r="X40" s="37"/>
      <c r="Y40" s="18">
        <v>190</v>
      </c>
      <c r="Z40" s="18">
        <v>0</v>
      </c>
      <c r="AA40" s="18">
        <v>10</v>
      </c>
      <c r="AE40" s="25">
        <f>SUM(U40:AD40)</f>
        <v>581</v>
      </c>
      <c r="AF40" s="25">
        <f>ROUND(AE40*10%,0)</f>
        <v>58</v>
      </c>
      <c r="AG40" s="25">
        <v>0</v>
      </c>
      <c r="AH40" s="25">
        <v>0</v>
      </c>
      <c r="AI40" s="25">
        <v>0</v>
      </c>
      <c r="AJ40" s="25"/>
      <c r="AK40" s="26">
        <f>SUM(AE40:AI40)</f>
        <v>639</v>
      </c>
      <c r="AL40" s="32">
        <f>ROUND(M40*AK40,0)</f>
        <v>22</v>
      </c>
      <c r="BG40" s="53"/>
      <c r="BH40" s="41"/>
      <c r="BI40" s="53"/>
      <c r="BJ40" s="41"/>
      <c r="BK40" s="53"/>
      <c r="BL40" s="53"/>
      <c r="BM40" s="42"/>
      <c r="BN40" s="42"/>
    </row>
    <row r="41" spans="1:68" ht="15" customHeight="1" x14ac:dyDescent="0.25">
      <c r="A41" s="43"/>
      <c r="B41" s="43"/>
      <c r="C41" s="43"/>
      <c r="E41" s="43"/>
      <c r="H41" s="43"/>
      <c r="P41" s="15"/>
      <c r="T41" s="40"/>
      <c r="U41" s="25"/>
      <c r="W41" s="44"/>
      <c r="X41" s="44"/>
      <c r="Y41" s="44"/>
      <c r="AA41" s="48"/>
      <c r="AB41" s="48"/>
      <c r="AE41" s="25"/>
      <c r="AF41" s="25"/>
      <c r="AG41" s="25"/>
      <c r="AH41" s="25"/>
      <c r="AI41" s="25"/>
      <c r="AJ41" s="25"/>
      <c r="AK41" s="26"/>
      <c r="AL41" s="32"/>
      <c r="BG41" s="53"/>
      <c r="BH41" s="41"/>
      <c r="BI41" s="53"/>
      <c r="BJ41" s="41"/>
      <c r="BK41" s="53"/>
      <c r="BL41" s="53"/>
      <c r="BM41" s="42"/>
      <c r="BN41" s="42"/>
    </row>
    <row r="42" spans="1:68" ht="15" customHeight="1" x14ac:dyDescent="0.25">
      <c r="A42" s="43"/>
      <c r="B42" s="43"/>
      <c r="C42" s="43"/>
      <c r="E42" s="43"/>
      <c r="H42" s="43"/>
      <c r="P42" s="15"/>
      <c r="T42" s="40"/>
      <c r="U42" s="25"/>
      <c r="W42" s="44"/>
      <c r="X42" s="44"/>
      <c r="Y42" s="44"/>
      <c r="AA42" s="48"/>
      <c r="AB42" s="48"/>
      <c r="AE42" s="25"/>
      <c r="AF42" s="25"/>
      <c r="AG42" s="25"/>
      <c r="AH42" s="25"/>
      <c r="AI42" s="25"/>
      <c r="AJ42" s="25"/>
      <c r="AK42" s="26"/>
      <c r="AL42" s="32"/>
      <c r="BG42" s="53"/>
      <c r="BH42" s="41"/>
      <c r="BI42" s="53"/>
      <c r="BJ42" s="41"/>
      <c r="BK42" s="53"/>
      <c r="BL42" s="53"/>
      <c r="BM42" s="42"/>
      <c r="BN42" s="42"/>
    </row>
    <row r="43" spans="1:68" ht="15" customHeight="1" x14ac:dyDescent="0.25">
      <c r="A43" s="43">
        <v>7</v>
      </c>
      <c r="B43" s="43" t="s">
        <v>38</v>
      </c>
      <c r="C43" s="43">
        <v>9414</v>
      </c>
      <c r="D43" t="s">
        <v>124</v>
      </c>
      <c r="E43" t="s">
        <v>125</v>
      </c>
      <c r="F43" t="s">
        <v>80</v>
      </c>
      <c r="G43" t="s">
        <v>40</v>
      </c>
      <c r="H43" s="43" t="s">
        <v>164</v>
      </c>
      <c r="I43" t="s">
        <v>39</v>
      </c>
      <c r="J43" t="s">
        <v>99</v>
      </c>
      <c r="K43" t="s">
        <v>83</v>
      </c>
      <c r="L43">
        <v>280</v>
      </c>
      <c r="M43" s="2">
        <v>0.28000000000000003</v>
      </c>
      <c r="O43">
        <v>500</v>
      </c>
      <c r="P43" s="15">
        <f>O43*M43</f>
        <v>140</v>
      </c>
      <c r="R43" s="21" t="s">
        <v>64</v>
      </c>
      <c r="S43" s="18">
        <v>317</v>
      </c>
      <c r="T43" s="40">
        <v>0.7</v>
      </c>
      <c r="U43" s="25">
        <f>S43*T43</f>
        <v>221.89999999999998</v>
      </c>
      <c r="V43" s="18">
        <v>25</v>
      </c>
      <c r="W43" s="44"/>
      <c r="X43" s="44"/>
      <c r="Y43" s="44">
        <v>190</v>
      </c>
      <c r="Z43" s="18">
        <v>12</v>
      </c>
      <c r="AA43" s="51">
        <v>15</v>
      </c>
      <c r="AB43" s="51">
        <v>15</v>
      </c>
      <c r="AC43" s="51"/>
      <c r="AE43" s="25">
        <f>SUM(U43:AD44)</f>
        <v>567.4</v>
      </c>
      <c r="AF43" s="25">
        <f>ROUND(AE43*10%,0)</f>
        <v>57</v>
      </c>
      <c r="AG43" s="25">
        <v>0</v>
      </c>
      <c r="AH43" s="25">
        <v>0</v>
      </c>
      <c r="AI43" s="25">
        <v>0</v>
      </c>
      <c r="AJ43" s="25"/>
      <c r="AK43" s="26">
        <f>SUM(AE43:AI43)</f>
        <v>624.4</v>
      </c>
      <c r="AL43" s="32">
        <f>ROUND(M43*AK43,0)</f>
        <v>175</v>
      </c>
      <c r="AM43">
        <v>40</v>
      </c>
      <c r="AN43">
        <v>18</v>
      </c>
      <c r="AO43">
        <v>3</v>
      </c>
      <c r="AP43">
        <v>3</v>
      </c>
      <c r="AQ43">
        <v>1</v>
      </c>
      <c r="AR43">
        <v>0</v>
      </c>
      <c r="AS43">
        <v>0</v>
      </c>
      <c r="AW43">
        <v>1</v>
      </c>
      <c r="AX43">
        <v>0</v>
      </c>
      <c r="AY43">
        <v>0</v>
      </c>
      <c r="AZ43">
        <v>30</v>
      </c>
      <c r="BA43">
        <v>30</v>
      </c>
      <c r="BB43">
        <v>0</v>
      </c>
      <c r="BC43">
        <v>0</v>
      </c>
      <c r="BD43">
        <v>4</v>
      </c>
      <c r="BE43">
        <v>8</v>
      </c>
      <c r="BF43">
        <v>0</v>
      </c>
      <c r="BG43" s="53">
        <f>SUM(AL43:BF45)</f>
        <v>338</v>
      </c>
      <c r="BH43" s="72">
        <v>0.03</v>
      </c>
      <c r="BI43" s="53">
        <f>BG43*BH43+BG43</f>
        <v>348.14</v>
      </c>
      <c r="BJ43" s="72">
        <v>0.14000000000000001</v>
      </c>
      <c r="BK43" s="53">
        <f>BI43*BJ43+BI43</f>
        <v>396.87959999999998</v>
      </c>
      <c r="BL43" s="53">
        <v>92</v>
      </c>
      <c r="BM43" s="42">
        <f>BK43/BL43</f>
        <v>4.3139086956521737</v>
      </c>
      <c r="BN43" s="42"/>
      <c r="BO43" s="59">
        <v>4.3</v>
      </c>
      <c r="BP43" s="59"/>
    </row>
    <row r="44" spans="1:68" ht="15" customHeight="1" x14ac:dyDescent="0.25">
      <c r="A44" s="43"/>
      <c r="B44" s="43"/>
      <c r="C44" s="43"/>
      <c r="H44" s="58"/>
      <c r="M44" s="2"/>
      <c r="R44" s="21" t="s">
        <v>65</v>
      </c>
      <c r="S44" s="18">
        <v>295</v>
      </c>
      <c r="T44" s="40">
        <v>0.3</v>
      </c>
      <c r="U44" s="25">
        <f>S44*T44</f>
        <v>88.5</v>
      </c>
      <c r="W44" s="44"/>
      <c r="X44" s="44"/>
      <c r="Y44" s="44"/>
      <c r="AL44" s="32"/>
      <c r="BG44" s="53"/>
      <c r="BH44" s="41"/>
      <c r="BI44" s="53"/>
      <c r="BJ44" s="41"/>
      <c r="BK44" s="53"/>
      <c r="BL44" s="53"/>
      <c r="BM44" s="42"/>
      <c r="BN44" s="42"/>
      <c r="BO44" s="59"/>
      <c r="BP44" s="59"/>
    </row>
    <row r="45" spans="1:68" ht="15" customHeight="1" x14ac:dyDescent="0.25">
      <c r="A45" s="43"/>
      <c r="B45" s="43"/>
      <c r="C45" s="43"/>
      <c r="H45" s="58"/>
      <c r="J45" t="s">
        <v>126</v>
      </c>
      <c r="K45" t="s">
        <v>127</v>
      </c>
      <c r="L45">
        <v>370</v>
      </c>
      <c r="M45" s="2">
        <v>0.04</v>
      </c>
      <c r="O45">
        <v>500</v>
      </c>
      <c r="P45" s="15">
        <f>O45*M45</f>
        <v>20</v>
      </c>
      <c r="R45" s="21" t="s">
        <v>65</v>
      </c>
      <c r="S45" s="18">
        <v>295</v>
      </c>
      <c r="T45" s="40">
        <v>1</v>
      </c>
      <c r="U45" s="25">
        <f>S45*T45</f>
        <v>295</v>
      </c>
      <c r="V45" s="18">
        <v>75</v>
      </c>
      <c r="W45" s="44"/>
      <c r="X45" s="44"/>
      <c r="Y45" s="44">
        <v>190</v>
      </c>
      <c r="Z45" s="18">
        <v>0</v>
      </c>
      <c r="AA45" s="18">
        <v>10</v>
      </c>
      <c r="AE45" s="25">
        <f>SUM(U45:AD45)</f>
        <v>570</v>
      </c>
      <c r="AF45" s="25">
        <f>ROUND(AE45*10%,0)</f>
        <v>57</v>
      </c>
      <c r="AG45" s="25">
        <v>0</v>
      </c>
      <c r="AH45" s="25">
        <v>0</v>
      </c>
      <c r="AI45" s="25">
        <v>0</v>
      </c>
      <c r="AJ45" s="25"/>
      <c r="AK45" s="26">
        <f>SUM(AE45:AI45)</f>
        <v>627</v>
      </c>
      <c r="AL45" s="32">
        <f>ROUND(M45*AK45,0)</f>
        <v>25</v>
      </c>
      <c r="BG45" s="41"/>
      <c r="BH45" s="41"/>
      <c r="BI45" s="41"/>
      <c r="BJ45" s="41"/>
      <c r="BK45" s="41"/>
      <c r="BL45" s="41"/>
      <c r="BM45" s="42"/>
      <c r="BN45" s="42"/>
      <c r="BO45" s="59"/>
      <c r="BP45" s="59"/>
    </row>
    <row r="46" spans="1:68" ht="15" customHeight="1" x14ac:dyDescent="0.25">
      <c r="A46" s="16"/>
      <c r="B46" s="16"/>
      <c r="C46" s="16"/>
      <c r="G46" s="16"/>
      <c r="H46" s="16"/>
      <c r="I46" s="16"/>
      <c r="J46" s="16"/>
      <c r="K46" s="16"/>
      <c r="P46" s="15"/>
      <c r="S46" s="27"/>
      <c r="T46" s="27"/>
      <c r="U46" s="27"/>
      <c r="V46" s="27"/>
      <c r="W46" s="28"/>
      <c r="X46" s="28"/>
      <c r="Y46" s="34"/>
      <c r="Z46" s="27"/>
      <c r="AA46" s="27"/>
      <c r="AB46" s="27"/>
      <c r="AC46" s="27"/>
      <c r="AD46" s="27"/>
      <c r="AE46" s="25"/>
      <c r="AF46" s="25"/>
      <c r="AG46" s="25"/>
      <c r="AH46" s="25"/>
      <c r="AI46" s="25"/>
      <c r="AJ46" s="25"/>
      <c r="AK46" s="31"/>
      <c r="AL46" s="32"/>
      <c r="BG46" s="41"/>
      <c r="BH46" s="41"/>
      <c r="BI46" s="41"/>
      <c r="BJ46" s="41"/>
      <c r="BK46" s="41"/>
      <c r="BL46" s="41"/>
      <c r="BM46" s="42"/>
      <c r="BN46" s="42"/>
    </row>
    <row r="47" spans="1:68" x14ac:dyDescent="0.25">
      <c r="A47" s="13">
        <v>8</v>
      </c>
      <c r="B47" s="36" t="s">
        <v>38</v>
      </c>
      <c r="C47" s="36">
        <v>9414</v>
      </c>
      <c r="D47" s="14" t="s">
        <v>104</v>
      </c>
      <c r="E47" s="14" t="s">
        <v>105</v>
      </c>
      <c r="F47" s="14" t="s">
        <v>80</v>
      </c>
      <c r="G47" t="s">
        <v>40</v>
      </c>
      <c r="H47" s="13" t="s">
        <v>96</v>
      </c>
      <c r="I47" t="s">
        <v>39</v>
      </c>
      <c r="J47" t="s">
        <v>99</v>
      </c>
      <c r="K47" t="s">
        <v>83</v>
      </c>
      <c r="L47">
        <v>280</v>
      </c>
      <c r="M47" s="2">
        <v>0.3</v>
      </c>
      <c r="N47" s="14"/>
      <c r="O47">
        <v>500</v>
      </c>
      <c r="P47" s="15">
        <f>O47*M47</f>
        <v>150</v>
      </c>
      <c r="Q47" s="15"/>
      <c r="R47" s="21" t="s">
        <v>64</v>
      </c>
      <c r="S47" s="18">
        <v>317</v>
      </c>
      <c r="T47" s="40">
        <v>0.7</v>
      </c>
      <c r="U47" s="25">
        <f>S47*T47</f>
        <v>221.89999999999998</v>
      </c>
      <c r="V47" s="18">
        <v>25</v>
      </c>
      <c r="W47" s="37"/>
      <c r="X47" s="37"/>
      <c r="Y47" s="37">
        <v>190</v>
      </c>
      <c r="Z47" s="18">
        <v>12</v>
      </c>
      <c r="AA47" s="38">
        <v>15</v>
      </c>
      <c r="AB47" s="38">
        <v>15</v>
      </c>
      <c r="AE47" s="25">
        <f>SUM(U47:AD48)</f>
        <v>567.4</v>
      </c>
      <c r="AF47" s="25">
        <f>ROUND(AE47*10%,0)</f>
        <v>57</v>
      </c>
      <c r="AG47" s="25">
        <v>0</v>
      </c>
      <c r="AH47" s="25">
        <v>0</v>
      </c>
      <c r="AI47" s="25">
        <v>0</v>
      </c>
      <c r="AJ47" s="25"/>
      <c r="AK47" s="26">
        <f>SUM(AE47:AI47)</f>
        <v>624.4</v>
      </c>
      <c r="AL47" s="32">
        <f>ROUND(M47*AK47,0)</f>
        <v>187</v>
      </c>
      <c r="AM47">
        <v>67</v>
      </c>
      <c r="AN47">
        <v>18</v>
      </c>
      <c r="AO47">
        <v>3</v>
      </c>
      <c r="AP47">
        <v>3</v>
      </c>
      <c r="AQ47">
        <v>0</v>
      </c>
      <c r="AR47">
        <v>0</v>
      </c>
      <c r="AT47">
        <v>60</v>
      </c>
      <c r="AU47">
        <v>0</v>
      </c>
      <c r="AV47">
        <v>0</v>
      </c>
      <c r="AW47">
        <v>2</v>
      </c>
      <c r="AX47">
        <v>0</v>
      </c>
      <c r="AY47">
        <v>0</v>
      </c>
      <c r="AZ47">
        <v>70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 s="53">
        <f>SUM(AL47:BF49)</f>
        <v>463</v>
      </c>
      <c r="BH47" s="72">
        <v>0.03</v>
      </c>
      <c r="BI47" s="53">
        <f>BG47*BH47+BG47</f>
        <v>476.89</v>
      </c>
      <c r="BJ47" s="72">
        <v>0.09</v>
      </c>
      <c r="BK47" s="53">
        <f>BI47*BJ47+BI47</f>
        <v>519.81010000000003</v>
      </c>
      <c r="BL47" s="53">
        <v>92</v>
      </c>
      <c r="BM47" s="42">
        <f>BK47/BL47</f>
        <v>5.6501097826086957</v>
      </c>
      <c r="BN47" s="42"/>
      <c r="BO47" s="73">
        <v>5.65</v>
      </c>
    </row>
    <row r="48" spans="1:68" ht="15" customHeight="1" x14ac:dyDescent="0.25">
      <c r="A48" s="13"/>
      <c r="B48" s="13"/>
      <c r="C48" s="13"/>
      <c r="D48" s="14"/>
      <c r="E48" s="14"/>
      <c r="F48" s="14"/>
      <c r="G48" s="13"/>
      <c r="H48" s="13"/>
      <c r="I48" s="13"/>
      <c r="J48" s="13"/>
      <c r="K48" s="13"/>
      <c r="L48" s="14"/>
      <c r="M48" s="15"/>
      <c r="N48" s="14"/>
      <c r="O48" s="14"/>
      <c r="P48" s="15"/>
      <c r="Q48" s="15"/>
      <c r="R48" s="21" t="s">
        <v>65</v>
      </c>
      <c r="S48" s="18">
        <v>295</v>
      </c>
      <c r="T48" s="40">
        <v>0.3</v>
      </c>
      <c r="U48" s="25">
        <f>S48*T48</f>
        <v>88.5</v>
      </c>
      <c r="W48" s="37"/>
      <c r="X48" s="37"/>
      <c r="Y48" s="37"/>
      <c r="AL48" s="32"/>
      <c r="BG48" s="53"/>
      <c r="BH48" s="41"/>
      <c r="BI48" s="53"/>
      <c r="BJ48" s="41"/>
      <c r="BK48" s="53"/>
      <c r="BL48" s="53"/>
      <c r="BM48" s="42"/>
      <c r="BN48" s="42"/>
    </row>
    <row r="49" spans="1:68" x14ac:dyDescent="0.25">
      <c r="A49" s="13"/>
      <c r="B49" s="36" t="s">
        <v>38</v>
      </c>
      <c r="C49" s="36">
        <v>9414</v>
      </c>
      <c r="D49" s="14" t="s">
        <v>104</v>
      </c>
      <c r="E49" s="14" t="s">
        <v>105</v>
      </c>
      <c r="F49" t="s">
        <v>103</v>
      </c>
      <c r="G49" s="13" t="s">
        <v>17</v>
      </c>
      <c r="H49" s="13" t="s">
        <v>96</v>
      </c>
      <c r="I49" t="s">
        <v>39</v>
      </c>
      <c r="J49" s="13" t="s">
        <v>100</v>
      </c>
      <c r="K49" t="s">
        <v>89</v>
      </c>
      <c r="L49">
        <v>370</v>
      </c>
      <c r="M49">
        <v>8.5000000000000006E-2</v>
      </c>
      <c r="N49" s="14"/>
      <c r="O49">
        <v>500</v>
      </c>
      <c r="P49" s="15">
        <f>O49*M49</f>
        <v>42.5</v>
      </c>
      <c r="Q49" s="15"/>
      <c r="R49" s="21" t="s">
        <v>65</v>
      </c>
      <c r="S49" s="18">
        <v>295</v>
      </c>
      <c r="T49" s="40">
        <v>1</v>
      </c>
      <c r="U49" s="25">
        <f>S49*T49</f>
        <v>295</v>
      </c>
      <c r="V49" s="18">
        <v>75</v>
      </c>
      <c r="W49" s="37"/>
      <c r="X49" s="37"/>
      <c r="Y49" s="18">
        <v>190</v>
      </c>
      <c r="Z49" s="18">
        <v>0</v>
      </c>
      <c r="AA49" s="18">
        <v>10</v>
      </c>
      <c r="AE49" s="25">
        <f>SUM(U49:AD49)</f>
        <v>570</v>
      </c>
      <c r="AF49" s="25">
        <f>ROUND(AE49*10%,0)</f>
        <v>57</v>
      </c>
      <c r="AG49" s="25">
        <v>0</v>
      </c>
      <c r="AH49" s="25">
        <v>0</v>
      </c>
      <c r="AI49" s="25">
        <v>0</v>
      </c>
      <c r="AJ49" s="25"/>
      <c r="AK49" s="26">
        <f>SUM(AE49:AI49)</f>
        <v>627</v>
      </c>
      <c r="AL49" s="32">
        <f>ROUND(M49*AK49,0)</f>
        <v>53</v>
      </c>
      <c r="BG49" s="53"/>
      <c r="BH49" s="41"/>
      <c r="BI49" s="53"/>
      <c r="BJ49" s="41"/>
      <c r="BK49" s="53"/>
      <c r="BL49" s="53"/>
      <c r="BM49" s="42"/>
      <c r="BN49" s="42"/>
    </row>
    <row r="50" spans="1:68" ht="15" customHeight="1" x14ac:dyDescent="0.25">
      <c r="A50" s="43"/>
      <c r="B50" s="43"/>
      <c r="C50" s="43"/>
      <c r="W50" s="44"/>
      <c r="X50" s="44"/>
      <c r="Y50" s="44"/>
      <c r="AL50" s="29"/>
      <c r="BJ50" s="30"/>
      <c r="BM50" s="50"/>
      <c r="BN50" s="63"/>
    </row>
    <row r="51" spans="1:68" x14ac:dyDescent="0.25">
      <c r="A51" s="43">
        <v>9</v>
      </c>
      <c r="B51" s="43" t="s">
        <v>38</v>
      </c>
      <c r="C51" s="43">
        <v>9414</v>
      </c>
      <c r="D51" t="s">
        <v>128</v>
      </c>
      <c r="E51" t="s">
        <v>129</v>
      </c>
      <c r="F51" t="s">
        <v>80</v>
      </c>
      <c r="G51" t="s">
        <v>40</v>
      </c>
      <c r="H51" s="58" t="s">
        <v>165</v>
      </c>
      <c r="I51" t="s">
        <v>39</v>
      </c>
      <c r="J51" t="s">
        <v>99</v>
      </c>
      <c r="K51" t="s">
        <v>83</v>
      </c>
      <c r="L51">
        <v>280</v>
      </c>
      <c r="M51">
        <v>0.35</v>
      </c>
      <c r="O51">
        <v>500</v>
      </c>
      <c r="P51" s="15">
        <f>O51*M51</f>
        <v>175</v>
      </c>
      <c r="R51" s="21" t="s">
        <v>64</v>
      </c>
      <c r="S51" s="18">
        <v>317</v>
      </c>
      <c r="T51" s="40">
        <v>0.7</v>
      </c>
      <c r="U51" s="25">
        <f>S51*T51</f>
        <v>221.89999999999998</v>
      </c>
      <c r="V51" s="18">
        <v>25</v>
      </c>
      <c r="W51" s="44"/>
      <c r="X51" s="44"/>
      <c r="Y51" s="44">
        <v>130</v>
      </c>
      <c r="Z51" s="18">
        <v>12</v>
      </c>
      <c r="AA51" s="51">
        <v>15</v>
      </c>
      <c r="AB51" s="51">
        <v>15</v>
      </c>
      <c r="AC51" s="51"/>
      <c r="AE51" s="25">
        <f>SUM(U51:AD52)</f>
        <v>507.4</v>
      </c>
      <c r="AF51" s="25">
        <f>ROUND(AE51*10%,0)</f>
        <v>51</v>
      </c>
      <c r="AG51" s="25">
        <v>0</v>
      </c>
      <c r="AH51" s="25">
        <v>0</v>
      </c>
      <c r="AI51" s="25">
        <v>0</v>
      </c>
      <c r="AJ51" s="25"/>
      <c r="AK51" s="26">
        <f>SUM(AE51:AI51)</f>
        <v>558.4</v>
      </c>
      <c r="AL51" s="32">
        <f>ROUND(M51*AK51,0)</f>
        <v>195</v>
      </c>
      <c r="AM51">
        <v>58</v>
      </c>
      <c r="AN51">
        <v>18</v>
      </c>
      <c r="AO51">
        <v>3</v>
      </c>
      <c r="AP51">
        <v>3</v>
      </c>
      <c r="AQ51">
        <v>0</v>
      </c>
      <c r="AR51">
        <v>0</v>
      </c>
      <c r="AS51">
        <v>0</v>
      </c>
      <c r="AW51">
        <v>1</v>
      </c>
      <c r="AX51">
        <v>0</v>
      </c>
      <c r="AY51">
        <v>0</v>
      </c>
      <c r="AZ51">
        <v>15</v>
      </c>
      <c r="BA51">
        <v>45</v>
      </c>
      <c r="BB51">
        <v>0</v>
      </c>
      <c r="BC51">
        <v>0</v>
      </c>
      <c r="BD51">
        <v>0</v>
      </c>
      <c r="BE51">
        <v>0</v>
      </c>
      <c r="BF51">
        <v>0</v>
      </c>
      <c r="BG51" s="53">
        <f>SUM(AL51:BF54)</f>
        <v>400</v>
      </c>
      <c r="BH51" s="72">
        <v>0.03</v>
      </c>
      <c r="BI51" s="53">
        <f>BG51*BH51+BG51</f>
        <v>412</v>
      </c>
      <c r="BJ51" s="72">
        <v>0.08</v>
      </c>
      <c r="BK51" s="53">
        <f>BI51*BJ51+BI51</f>
        <v>444.96</v>
      </c>
      <c r="BL51" s="53">
        <v>92</v>
      </c>
      <c r="BM51" s="42">
        <f>BK51/BL51</f>
        <v>4.8365217391304345</v>
      </c>
      <c r="BN51" s="42"/>
      <c r="BO51" s="59">
        <v>4.8499999999999996</v>
      </c>
      <c r="BP51" s="59"/>
    </row>
    <row r="52" spans="1:68" ht="15" customHeight="1" x14ac:dyDescent="0.25">
      <c r="A52" s="43"/>
      <c r="B52" s="43"/>
      <c r="C52" s="43"/>
      <c r="H52" s="58"/>
      <c r="P52" s="15"/>
      <c r="R52" s="21" t="s">
        <v>65</v>
      </c>
      <c r="S52" s="18">
        <v>295</v>
      </c>
      <c r="T52" s="40">
        <v>0.3</v>
      </c>
      <c r="U52" s="25">
        <f>S52*T52</f>
        <v>88.5</v>
      </c>
      <c r="W52" s="44"/>
      <c r="X52" s="44"/>
      <c r="Y52" s="44"/>
      <c r="AL52" s="32"/>
      <c r="BG52" s="53"/>
      <c r="BH52" s="41"/>
      <c r="BI52" s="53"/>
      <c r="BJ52" s="41"/>
      <c r="BK52" s="53"/>
      <c r="BL52" s="53"/>
      <c r="BM52" s="42"/>
      <c r="BN52" s="42"/>
      <c r="BO52" s="59"/>
      <c r="BP52" s="59"/>
    </row>
    <row r="53" spans="1:68" x14ac:dyDescent="0.25">
      <c r="A53" s="43"/>
      <c r="B53" s="43" t="s">
        <v>38</v>
      </c>
      <c r="C53" s="43">
        <v>9414</v>
      </c>
      <c r="D53" t="s">
        <v>128</v>
      </c>
      <c r="E53" t="s">
        <v>129</v>
      </c>
      <c r="F53" t="s">
        <v>103</v>
      </c>
      <c r="G53" t="s">
        <v>17</v>
      </c>
      <c r="H53" s="58" t="s">
        <v>165</v>
      </c>
      <c r="I53" t="s">
        <v>39</v>
      </c>
      <c r="J53" t="s">
        <v>126</v>
      </c>
      <c r="K53" t="s">
        <v>127</v>
      </c>
      <c r="L53">
        <v>370</v>
      </c>
      <c r="M53" s="2">
        <v>0.06</v>
      </c>
      <c r="O53">
        <v>500</v>
      </c>
      <c r="P53" s="15">
        <f>O53*M53</f>
        <v>30</v>
      </c>
      <c r="R53" s="21" t="s">
        <v>65</v>
      </c>
      <c r="S53" s="18">
        <v>295</v>
      </c>
      <c r="T53" s="40">
        <v>1</v>
      </c>
      <c r="U53" s="25">
        <f>S53*T53</f>
        <v>295</v>
      </c>
      <c r="V53" s="18">
        <v>75</v>
      </c>
      <c r="W53" s="44"/>
      <c r="X53" s="44"/>
      <c r="Y53" s="44">
        <v>130</v>
      </c>
      <c r="Z53" s="18">
        <v>0</v>
      </c>
      <c r="AA53" s="18">
        <v>10</v>
      </c>
      <c r="AE53" s="25">
        <f>SUM(U53:AD53)</f>
        <v>510</v>
      </c>
      <c r="AF53" s="25">
        <f>ROUND(AE53*10%,0)</f>
        <v>51</v>
      </c>
      <c r="AG53" s="25">
        <v>0</v>
      </c>
      <c r="AH53" s="25">
        <v>0</v>
      </c>
      <c r="AI53" s="25">
        <v>0</v>
      </c>
      <c r="AJ53" s="25"/>
      <c r="AK53" s="26">
        <f>SUM(AE53:AI53)</f>
        <v>561</v>
      </c>
      <c r="AL53" s="32">
        <f>ROUND(M53*AK53,0)</f>
        <v>34</v>
      </c>
      <c r="BG53" s="41"/>
      <c r="BH53" s="41"/>
      <c r="BI53" s="41"/>
      <c r="BJ53" s="41"/>
      <c r="BK53" s="41"/>
      <c r="BL53" s="41"/>
      <c r="BM53" s="42"/>
      <c r="BN53" s="42"/>
      <c r="BO53" s="59"/>
      <c r="BP53" s="59"/>
    </row>
    <row r="54" spans="1:68" x14ac:dyDescent="0.25">
      <c r="A54" s="43"/>
      <c r="B54" s="43" t="s">
        <v>38</v>
      </c>
      <c r="C54" s="43">
        <v>9414</v>
      </c>
      <c r="D54" t="s">
        <v>128</v>
      </c>
      <c r="E54" t="s">
        <v>129</v>
      </c>
      <c r="F54" t="s">
        <v>130</v>
      </c>
      <c r="G54" t="s">
        <v>97</v>
      </c>
      <c r="H54" s="58" t="s">
        <v>165</v>
      </c>
      <c r="I54" t="s">
        <v>39</v>
      </c>
      <c r="J54" t="s">
        <v>18</v>
      </c>
      <c r="K54" t="s">
        <v>83</v>
      </c>
      <c r="L54">
        <v>200</v>
      </c>
      <c r="M54" s="2">
        <v>5.5E-2</v>
      </c>
      <c r="O54">
        <v>500</v>
      </c>
      <c r="P54" s="15">
        <f>O54*M54</f>
        <v>27.5</v>
      </c>
      <c r="R54" s="21" t="s">
        <v>131</v>
      </c>
      <c r="S54" s="27">
        <v>300</v>
      </c>
      <c r="T54" s="52">
        <v>1</v>
      </c>
      <c r="U54" s="52">
        <f>S54*T54</f>
        <v>300</v>
      </c>
      <c r="V54" s="27">
        <v>15</v>
      </c>
      <c r="W54" s="44"/>
      <c r="X54" s="44"/>
      <c r="Y54" s="44">
        <v>130</v>
      </c>
      <c r="Z54" s="27">
        <v>12</v>
      </c>
      <c r="AA54" s="51">
        <v>12</v>
      </c>
      <c r="AE54" s="25">
        <f>SUM(U54:AD54)</f>
        <v>469</v>
      </c>
      <c r="AF54" s="25">
        <f>ROUND(AE54*10%,0)</f>
        <v>47</v>
      </c>
      <c r="AG54" s="25">
        <v>0</v>
      </c>
      <c r="AH54" s="25">
        <v>0</v>
      </c>
      <c r="AI54" s="25">
        <v>0</v>
      </c>
      <c r="AJ54" s="25"/>
      <c r="AK54" s="26">
        <f>SUM(AE54:AI54)</f>
        <v>516</v>
      </c>
      <c r="AL54" s="32">
        <f>ROUND(M54*AK54,0)</f>
        <v>28</v>
      </c>
      <c r="BH54" s="30"/>
      <c r="BJ54" s="30"/>
      <c r="BM54" s="50"/>
      <c r="BN54" s="63"/>
      <c r="BO54" s="59"/>
      <c r="BP54" s="59"/>
    </row>
    <row r="55" spans="1:68" x14ac:dyDescent="0.25">
      <c r="A55" s="41"/>
      <c r="B55" s="43"/>
      <c r="C55" s="43"/>
      <c r="G55" s="13"/>
      <c r="J55" s="13"/>
      <c r="P55" s="15"/>
      <c r="Q55" s="15"/>
      <c r="T55" s="40"/>
      <c r="U55" s="25"/>
      <c r="W55" s="44"/>
      <c r="X55" s="44"/>
      <c r="AE55" s="25"/>
      <c r="AF55" s="25"/>
      <c r="AG55" s="25"/>
      <c r="AH55" s="25"/>
      <c r="AI55" s="25"/>
      <c r="AJ55" s="25"/>
      <c r="AK55" s="26"/>
      <c r="AL55" s="32"/>
      <c r="BG55" s="53"/>
      <c r="BH55" s="41"/>
      <c r="BI55" s="53"/>
      <c r="BJ55" s="41"/>
      <c r="BK55" s="53"/>
      <c r="BL55" s="53"/>
      <c r="BM55" s="42"/>
      <c r="BN55" s="42"/>
    </row>
    <row r="56" spans="1:68" ht="15" customHeight="1" x14ac:dyDescent="0.25">
      <c r="A56" s="43">
        <v>10</v>
      </c>
      <c r="B56" s="43" t="s">
        <v>38</v>
      </c>
      <c r="C56" s="43">
        <v>9414</v>
      </c>
      <c r="D56" t="s">
        <v>132</v>
      </c>
      <c r="E56" t="s">
        <v>133</v>
      </c>
      <c r="F56" t="s">
        <v>80</v>
      </c>
      <c r="G56" t="s">
        <v>40</v>
      </c>
      <c r="H56" s="43" t="s">
        <v>164</v>
      </c>
      <c r="I56" t="s">
        <v>39</v>
      </c>
      <c r="J56" t="s">
        <v>99</v>
      </c>
      <c r="K56" t="s">
        <v>83</v>
      </c>
      <c r="L56">
        <v>280</v>
      </c>
      <c r="M56">
        <v>0.255</v>
      </c>
      <c r="O56">
        <v>500</v>
      </c>
      <c r="P56" s="15">
        <f>O56*M56</f>
        <v>127.5</v>
      </c>
      <c r="R56" s="21" t="s">
        <v>64</v>
      </c>
      <c r="S56" s="18">
        <v>317</v>
      </c>
      <c r="T56" s="40">
        <v>0.7</v>
      </c>
      <c r="U56" s="25">
        <f>S56*T56</f>
        <v>221.89999999999998</v>
      </c>
      <c r="V56" s="18">
        <v>25</v>
      </c>
      <c r="W56" s="44"/>
      <c r="X56" s="44"/>
      <c r="Y56" s="44">
        <v>190</v>
      </c>
      <c r="Z56" s="18">
        <v>12</v>
      </c>
      <c r="AA56" s="51">
        <v>15</v>
      </c>
      <c r="AB56" s="51">
        <v>15</v>
      </c>
      <c r="AC56" s="51"/>
      <c r="AE56" s="25">
        <f>SUM(U56:AD57)</f>
        <v>567.4</v>
      </c>
      <c r="AF56" s="25">
        <f>ROUND(AE56*10%,0)</f>
        <v>57</v>
      </c>
      <c r="AG56" s="25">
        <v>0</v>
      </c>
      <c r="AH56" s="25">
        <v>0</v>
      </c>
      <c r="AI56" s="25">
        <v>0</v>
      </c>
      <c r="AJ56" s="25"/>
      <c r="AK56" s="26">
        <f>SUM(AE56:AI56)</f>
        <v>624.4</v>
      </c>
      <c r="AL56" s="32">
        <f>ROUND(M56*AK56,0)</f>
        <v>159</v>
      </c>
      <c r="AM56">
        <v>45</v>
      </c>
      <c r="AN56">
        <v>18</v>
      </c>
      <c r="AO56">
        <v>3</v>
      </c>
      <c r="AP56">
        <v>3</v>
      </c>
      <c r="AQ56">
        <v>0</v>
      </c>
      <c r="AR56">
        <v>0</v>
      </c>
      <c r="AS56">
        <v>0</v>
      </c>
      <c r="AW56">
        <v>1</v>
      </c>
      <c r="AX56">
        <v>0</v>
      </c>
      <c r="AY56">
        <v>0</v>
      </c>
      <c r="AZ56">
        <v>15</v>
      </c>
      <c r="BA56">
        <v>45</v>
      </c>
      <c r="BB56">
        <v>0</v>
      </c>
      <c r="BC56">
        <v>0</v>
      </c>
      <c r="BD56">
        <v>0</v>
      </c>
      <c r="BE56">
        <v>0</v>
      </c>
      <c r="BF56">
        <v>0</v>
      </c>
      <c r="BG56" s="53">
        <f>SUM(AL56:BF58)</f>
        <v>336</v>
      </c>
      <c r="BH56" s="72">
        <v>0.03</v>
      </c>
      <c r="BI56" s="53">
        <f>BG56*BH56+BG56</f>
        <v>346.08</v>
      </c>
      <c r="BJ56" s="64">
        <v>0.05</v>
      </c>
      <c r="BK56" s="53">
        <f>BI56*BJ56+BI56</f>
        <v>363.38399999999996</v>
      </c>
      <c r="BL56" s="53">
        <v>92</v>
      </c>
      <c r="BM56" s="42">
        <f>BK56/BL56</f>
        <v>3.9498260869565214</v>
      </c>
      <c r="BN56" s="42"/>
      <c r="BO56" s="59">
        <v>3.95</v>
      </c>
      <c r="BP56" s="59"/>
    </row>
    <row r="57" spans="1:68" ht="15" customHeight="1" x14ac:dyDescent="0.25">
      <c r="A57" s="43"/>
      <c r="B57" s="43"/>
      <c r="C57" s="43"/>
      <c r="H57" s="58"/>
      <c r="P57" s="15"/>
      <c r="R57" s="21" t="s">
        <v>65</v>
      </c>
      <c r="S57" s="18">
        <v>295</v>
      </c>
      <c r="T57" s="40">
        <v>0.3</v>
      </c>
      <c r="U57" s="25">
        <f>S57*T57</f>
        <v>88.5</v>
      </c>
      <c r="W57" s="44"/>
      <c r="X57" s="44"/>
      <c r="Y57" s="44"/>
      <c r="AL57" s="32"/>
      <c r="BG57" s="53"/>
      <c r="BH57" s="41"/>
      <c r="BI57" s="53"/>
      <c r="BJ57" s="41"/>
      <c r="BK57" s="53"/>
      <c r="BL57" s="53"/>
      <c r="BM57" s="42"/>
      <c r="BN57" s="42"/>
      <c r="BO57" s="59"/>
      <c r="BP57" s="59"/>
    </row>
    <row r="58" spans="1:68" ht="15" customHeight="1" x14ac:dyDescent="0.25">
      <c r="A58" s="43"/>
      <c r="B58" s="43" t="s">
        <v>38</v>
      </c>
      <c r="C58" s="43">
        <v>9414</v>
      </c>
      <c r="D58" t="s">
        <v>132</v>
      </c>
      <c r="E58" t="s">
        <v>133</v>
      </c>
      <c r="F58" t="s">
        <v>103</v>
      </c>
      <c r="G58" t="s">
        <v>17</v>
      </c>
      <c r="H58" s="43" t="s">
        <v>164</v>
      </c>
      <c r="J58" t="s">
        <v>126</v>
      </c>
      <c r="K58" t="s">
        <v>127</v>
      </c>
      <c r="L58">
        <v>370</v>
      </c>
      <c r="M58" s="2">
        <v>7.4999999999999997E-2</v>
      </c>
      <c r="O58">
        <v>500</v>
      </c>
      <c r="P58" s="15">
        <f>O58*M58</f>
        <v>37.5</v>
      </c>
      <c r="R58" s="21" t="s">
        <v>65</v>
      </c>
      <c r="S58" s="18">
        <v>295</v>
      </c>
      <c r="T58" s="40">
        <v>1</v>
      </c>
      <c r="U58" s="25">
        <f>S58*T58</f>
        <v>295</v>
      </c>
      <c r="V58" s="18">
        <v>75</v>
      </c>
      <c r="W58" s="44"/>
      <c r="X58" s="44"/>
      <c r="Y58" s="44">
        <v>190</v>
      </c>
      <c r="Z58" s="18">
        <v>0</v>
      </c>
      <c r="AA58" s="18">
        <v>10</v>
      </c>
      <c r="AE58" s="25">
        <f>SUM(U58:AD58)</f>
        <v>570</v>
      </c>
      <c r="AF58" s="25">
        <f>ROUND(AE58*10%,0)</f>
        <v>57</v>
      </c>
      <c r="AG58" s="25">
        <v>0</v>
      </c>
      <c r="AH58" s="25">
        <v>0</v>
      </c>
      <c r="AI58" s="25">
        <v>0</v>
      </c>
      <c r="AJ58" s="25"/>
      <c r="AK58" s="26">
        <f>SUM(AE58:AI58)</f>
        <v>627</v>
      </c>
      <c r="AL58" s="32">
        <f>ROUND(M58*AK58,0)</f>
        <v>47</v>
      </c>
      <c r="BG58" s="41"/>
      <c r="BH58" s="41"/>
      <c r="BI58" s="41"/>
      <c r="BJ58" s="41"/>
      <c r="BK58" s="41"/>
      <c r="BL58" s="41"/>
      <c r="BM58" s="42"/>
      <c r="BN58" s="42"/>
      <c r="BO58" s="59"/>
      <c r="BP58" s="59"/>
    </row>
    <row r="59" spans="1:68" ht="15" customHeight="1" x14ac:dyDescent="0.25">
      <c r="A59" s="13"/>
      <c r="B59" s="13"/>
      <c r="C59" s="13"/>
      <c r="D59" s="14"/>
      <c r="E59" s="14"/>
      <c r="F59" s="14"/>
      <c r="G59" s="13"/>
      <c r="H59" s="13"/>
      <c r="I59" s="13"/>
      <c r="L59" s="14"/>
      <c r="M59" s="14"/>
      <c r="N59" s="14"/>
      <c r="O59" s="14"/>
      <c r="P59" s="15"/>
      <c r="Q59" s="15"/>
      <c r="R59" s="24"/>
      <c r="S59" s="27"/>
      <c r="T59" s="27"/>
      <c r="U59" s="27"/>
      <c r="V59" s="27"/>
      <c r="W59" s="27"/>
      <c r="X59" s="27"/>
      <c r="Y59" s="27"/>
      <c r="Z59" s="27"/>
      <c r="AA59" s="27"/>
    </row>
    <row r="60" spans="1:68" ht="15" customHeight="1" x14ac:dyDescent="0.25">
      <c r="A60" s="43">
        <v>11</v>
      </c>
      <c r="B60" s="43" t="s">
        <v>38</v>
      </c>
      <c r="C60" s="43">
        <v>9414</v>
      </c>
      <c r="D60" t="s">
        <v>134</v>
      </c>
      <c r="E60" t="s">
        <v>135</v>
      </c>
      <c r="F60" t="s">
        <v>80</v>
      </c>
      <c r="G60" t="s">
        <v>40</v>
      </c>
      <c r="H60" s="43" t="s">
        <v>164</v>
      </c>
      <c r="I60" t="s">
        <v>39</v>
      </c>
      <c r="J60" t="s">
        <v>99</v>
      </c>
      <c r="K60" t="s">
        <v>83</v>
      </c>
      <c r="L60">
        <v>280</v>
      </c>
      <c r="M60" s="2">
        <v>0.3</v>
      </c>
      <c r="O60">
        <v>500</v>
      </c>
      <c r="P60" s="15">
        <f>O60*M60</f>
        <v>150</v>
      </c>
      <c r="R60" s="21" t="s">
        <v>64</v>
      </c>
      <c r="S60" s="18">
        <v>317</v>
      </c>
      <c r="T60" s="40">
        <v>0.7</v>
      </c>
      <c r="U60" s="25">
        <f>S60*T60</f>
        <v>221.89999999999998</v>
      </c>
      <c r="V60" s="18">
        <v>25</v>
      </c>
      <c r="W60" s="44"/>
      <c r="X60" s="44"/>
      <c r="Y60" s="44">
        <v>190</v>
      </c>
      <c r="Z60" s="18">
        <v>12</v>
      </c>
      <c r="AA60" s="51">
        <v>13</v>
      </c>
      <c r="AB60" s="51">
        <v>13</v>
      </c>
      <c r="AC60" s="51"/>
      <c r="AE60" s="25">
        <f>SUM(U60:AD61)</f>
        <v>563.4</v>
      </c>
      <c r="AF60" s="25">
        <f>ROUND(AE60*10%,0)</f>
        <v>56</v>
      </c>
      <c r="AG60" s="25">
        <v>0</v>
      </c>
      <c r="AH60" s="25">
        <v>0</v>
      </c>
      <c r="AI60" s="25">
        <v>0</v>
      </c>
      <c r="AJ60" s="25"/>
      <c r="AK60" s="26">
        <f>SUM(AE60:AI60)</f>
        <v>619.4</v>
      </c>
      <c r="AL60" s="32">
        <f>ROUND(M60*AK60,0)</f>
        <v>186</v>
      </c>
      <c r="AM60">
        <v>70</v>
      </c>
      <c r="AN60">
        <v>18</v>
      </c>
      <c r="AO60">
        <v>3</v>
      </c>
      <c r="AP60">
        <v>3</v>
      </c>
      <c r="AQ60">
        <v>0</v>
      </c>
      <c r="AR60">
        <v>0</v>
      </c>
      <c r="AS60">
        <v>0</v>
      </c>
      <c r="AT60">
        <v>50</v>
      </c>
      <c r="AW60">
        <v>2</v>
      </c>
      <c r="AX60">
        <v>0</v>
      </c>
      <c r="AY60">
        <v>0</v>
      </c>
      <c r="AZ60">
        <v>45</v>
      </c>
      <c r="BA60">
        <v>45</v>
      </c>
      <c r="BB60">
        <v>0</v>
      </c>
      <c r="BC60">
        <v>0</v>
      </c>
      <c r="BD60">
        <v>0</v>
      </c>
      <c r="BE60">
        <v>0</v>
      </c>
      <c r="BF60">
        <v>0</v>
      </c>
      <c r="BG60" s="53">
        <f>SUM(AL60:BF63)</f>
        <v>478</v>
      </c>
      <c r="BH60" s="72">
        <v>0.03</v>
      </c>
      <c r="BI60" s="53">
        <f>BG60*BH60+BG60</f>
        <v>492.34</v>
      </c>
      <c r="BJ60" s="72">
        <v>0.06</v>
      </c>
      <c r="BK60" s="53">
        <f>BI60*BJ60+BI60</f>
        <v>521.88040000000001</v>
      </c>
      <c r="BL60" s="53">
        <v>92</v>
      </c>
      <c r="BM60" s="42">
        <f>BK60/BL60</f>
        <v>5.6726130434782611</v>
      </c>
      <c r="BN60" s="42"/>
      <c r="BO60" s="59">
        <v>5.65</v>
      </c>
      <c r="BP60" s="59"/>
    </row>
    <row r="61" spans="1:68" ht="15" customHeight="1" x14ac:dyDescent="0.25">
      <c r="A61" s="43"/>
      <c r="B61" s="43"/>
      <c r="C61" s="43"/>
      <c r="H61" s="43"/>
      <c r="P61" s="15"/>
      <c r="R61" s="21" t="s">
        <v>65</v>
      </c>
      <c r="S61" s="18">
        <v>295</v>
      </c>
      <c r="T61" s="40">
        <v>0.3</v>
      </c>
      <c r="U61" s="25">
        <f>S61*T61</f>
        <v>88.5</v>
      </c>
      <c r="W61" s="44"/>
      <c r="X61" s="44"/>
      <c r="Y61" s="44"/>
      <c r="AL61" s="32"/>
      <c r="BG61" s="53"/>
      <c r="BH61" s="41"/>
      <c r="BI61" s="53"/>
      <c r="BJ61" s="41"/>
      <c r="BK61" s="53"/>
      <c r="BL61" s="53"/>
      <c r="BM61" s="42"/>
      <c r="BN61" s="42"/>
      <c r="BO61" s="59"/>
      <c r="BP61" s="59"/>
    </row>
    <row r="62" spans="1:68" ht="18.75" customHeight="1" x14ac:dyDescent="0.25">
      <c r="A62" s="43"/>
      <c r="B62" s="43" t="s">
        <v>38</v>
      </c>
      <c r="C62" s="43">
        <v>9414</v>
      </c>
      <c r="D62" t="s">
        <v>134</v>
      </c>
      <c r="E62" t="s">
        <v>135</v>
      </c>
      <c r="F62" t="s">
        <v>103</v>
      </c>
      <c r="G62" t="s">
        <v>17</v>
      </c>
      <c r="H62" s="43" t="s">
        <v>164</v>
      </c>
      <c r="J62" t="s">
        <v>126</v>
      </c>
      <c r="K62" t="s">
        <v>127</v>
      </c>
      <c r="L62">
        <v>370</v>
      </c>
      <c r="M62" s="2">
        <v>0.09</v>
      </c>
      <c r="O62">
        <v>500</v>
      </c>
      <c r="P62" s="15">
        <f>O62*M62</f>
        <v>45</v>
      </c>
      <c r="R62" s="21" t="s">
        <v>65</v>
      </c>
      <c r="S62" s="18">
        <v>295</v>
      </c>
      <c r="T62" s="40">
        <v>1</v>
      </c>
      <c r="U62" s="25">
        <f>S62*T62</f>
        <v>295</v>
      </c>
      <c r="V62" s="18">
        <v>75</v>
      </c>
      <c r="W62" s="44"/>
      <c r="X62" s="44"/>
      <c r="Y62" s="44">
        <v>190</v>
      </c>
      <c r="Z62" s="18">
        <v>0</v>
      </c>
      <c r="AA62" s="18">
        <v>10</v>
      </c>
      <c r="AE62" s="25">
        <f>SUM(U62:AD62)</f>
        <v>570</v>
      </c>
      <c r="AF62" s="25">
        <f>ROUND(AE62*10%,0)</f>
        <v>57</v>
      </c>
      <c r="AG62" s="25">
        <v>0</v>
      </c>
      <c r="AH62" s="25">
        <v>0</v>
      </c>
      <c r="AI62" s="25">
        <v>0</v>
      </c>
      <c r="AJ62" s="25"/>
      <c r="AK62" s="26">
        <f>SUM(AE62:AI62)</f>
        <v>627</v>
      </c>
      <c r="AL62" s="32">
        <f>ROUND(M62*AK62,0)</f>
        <v>56</v>
      </c>
      <c r="BG62" s="41"/>
      <c r="BH62" s="41"/>
      <c r="BI62" s="41"/>
      <c r="BJ62" s="41"/>
      <c r="BK62" s="41"/>
      <c r="BL62" s="41"/>
      <c r="BM62" s="42"/>
      <c r="BN62" s="42"/>
      <c r="BO62" s="59"/>
      <c r="BP62" s="59"/>
    </row>
    <row r="63" spans="1:68" ht="15" customHeight="1" x14ac:dyDescent="0.25">
      <c r="A63" s="13"/>
      <c r="B63" s="13"/>
      <c r="C63" s="13"/>
      <c r="D63" s="14"/>
      <c r="E63" s="14"/>
      <c r="F63" s="14"/>
      <c r="G63" s="13"/>
      <c r="H63" s="13"/>
      <c r="I63" s="13"/>
      <c r="L63" s="14"/>
      <c r="M63" s="14"/>
      <c r="N63" s="14"/>
      <c r="O63" s="14"/>
      <c r="P63" s="15"/>
      <c r="Q63" s="15"/>
      <c r="R63" s="24"/>
      <c r="S63" s="27"/>
      <c r="T63" s="27"/>
      <c r="U63" s="27"/>
      <c r="V63" s="27"/>
      <c r="W63" s="27"/>
      <c r="X63" s="27"/>
      <c r="Y63" s="27"/>
      <c r="Z63" s="27"/>
      <c r="AA63" s="27"/>
    </row>
    <row r="64" spans="1:68" x14ac:dyDescent="0.25">
      <c r="A64" s="4">
        <v>12</v>
      </c>
      <c r="B64" s="43" t="s">
        <v>38</v>
      </c>
      <c r="C64" s="43">
        <v>9414</v>
      </c>
      <c r="D64" t="s">
        <v>119</v>
      </c>
      <c r="E64" t="s">
        <v>120</v>
      </c>
      <c r="F64" t="s">
        <v>121</v>
      </c>
      <c r="G64" t="s">
        <v>40</v>
      </c>
      <c r="H64" t="s">
        <v>157</v>
      </c>
      <c r="I64" t="s">
        <v>39</v>
      </c>
      <c r="J64" t="s">
        <v>122</v>
      </c>
      <c r="K64" t="s">
        <v>123</v>
      </c>
      <c r="L64">
        <v>180</v>
      </c>
      <c r="M64">
        <v>0.16500000000000001</v>
      </c>
      <c r="O64">
        <v>500</v>
      </c>
      <c r="P64" s="15">
        <f>O64*M64</f>
        <v>82.5</v>
      </c>
      <c r="R64" s="21" t="s">
        <v>64</v>
      </c>
      <c r="S64" s="18">
        <v>333</v>
      </c>
      <c r="T64" s="40">
        <v>1</v>
      </c>
      <c r="U64" s="25">
        <f>S64*T64</f>
        <v>333</v>
      </c>
      <c r="V64" s="18">
        <v>65</v>
      </c>
      <c r="X64" s="27">
        <v>175</v>
      </c>
      <c r="Z64" s="18">
        <v>12</v>
      </c>
      <c r="AA64" s="27">
        <v>13</v>
      </c>
      <c r="AE64" s="25">
        <f>SUM(U64:AD64)</f>
        <v>598</v>
      </c>
      <c r="AF64" s="25">
        <f>ROUND(AE64*10%,0)</f>
        <v>60</v>
      </c>
      <c r="AG64" s="25">
        <v>0</v>
      </c>
      <c r="AH64" s="25">
        <v>0</v>
      </c>
      <c r="AI64" s="25">
        <v>0</v>
      </c>
      <c r="AJ64" s="25"/>
      <c r="AK64" s="26">
        <f>SUM(AE64:AI64)</f>
        <v>658</v>
      </c>
      <c r="AL64" s="32">
        <f>ROUND(M64*AK64,0)</f>
        <v>109</v>
      </c>
      <c r="AM64">
        <v>51</v>
      </c>
      <c r="AN64">
        <v>18</v>
      </c>
      <c r="AO64">
        <v>3</v>
      </c>
      <c r="AP64">
        <v>3</v>
      </c>
      <c r="AQ64">
        <v>0</v>
      </c>
      <c r="AR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30</v>
      </c>
      <c r="BA64">
        <v>0</v>
      </c>
      <c r="BB64">
        <v>0</v>
      </c>
      <c r="BC64">
        <v>0</v>
      </c>
      <c r="BD64">
        <v>2</v>
      </c>
      <c r="BE64">
        <v>0</v>
      </c>
      <c r="BF64">
        <v>0</v>
      </c>
      <c r="BG64" s="53">
        <f>SUM(AL64:BF64)</f>
        <v>217</v>
      </c>
      <c r="BH64" s="72">
        <v>0.03</v>
      </c>
      <c r="BI64" s="53">
        <f>BG64*BH64+BG64</f>
        <v>223.51</v>
      </c>
      <c r="BJ64" s="72">
        <v>0.08</v>
      </c>
      <c r="BK64" s="53">
        <f>BI64*BJ64+BI64</f>
        <v>241.39079999999998</v>
      </c>
      <c r="BL64" s="53">
        <v>92</v>
      </c>
      <c r="BM64" s="42">
        <f>BK64/BL64</f>
        <v>2.6238130434782607</v>
      </c>
      <c r="BN64" s="42"/>
      <c r="BO64" s="73">
        <v>2.65</v>
      </c>
    </row>
    <row r="66" spans="1:67" x14ac:dyDescent="0.25">
      <c r="A66" s="4">
        <v>13</v>
      </c>
      <c r="B66" s="43" t="s">
        <v>38</v>
      </c>
      <c r="C66" s="43">
        <v>9414</v>
      </c>
      <c r="D66" t="s">
        <v>144</v>
      </c>
      <c r="E66" t="s">
        <v>145</v>
      </c>
      <c r="F66" s="43" t="s">
        <v>138</v>
      </c>
      <c r="G66" t="s">
        <v>40</v>
      </c>
      <c r="H66" t="s">
        <v>157</v>
      </c>
      <c r="I66" t="s">
        <v>39</v>
      </c>
      <c r="J66" t="s">
        <v>139</v>
      </c>
      <c r="K66" t="s">
        <v>184</v>
      </c>
      <c r="L66">
        <v>300</v>
      </c>
      <c r="M66" s="2">
        <v>0.15</v>
      </c>
      <c r="O66">
        <v>500</v>
      </c>
      <c r="P66" s="15">
        <f>O66*M66</f>
        <v>75</v>
      </c>
      <c r="R66" s="21" t="s">
        <v>172</v>
      </c>
      <c r="S66" s="18">
        <v>0</v>
      </c>
      <c r="T66" s="40">
        <v>0</v>
      </c>
      <c r="U66" s="25">
        <v>0</v>
      </c>
      <c r="V66" s="18">
        <v>0</v>
      </c>
      <c r="W66" s="44"/>
      <c r="X66" s="44"/>
      <c r="Y66" s="44"/>
      <c r="AA66" s="60"/>
      <c r="AB66" s="60"/>
      <c r="AE66" s="25">
        <f>SUM(U66:AD66)</f>
        <v>0</v>
      </c>
      <c r="AF66" s="25">
        <f>ROUND(AE66*6%,0)</f>
        <v>0</v>
      </c>
      <c r="AG66" s="25">
        <v>0</v>
      </c>
      <c r="AH66" s="25">
        <v>0</v>
      </c>
      <c r="AI66" s="25">
        <v>0</v>
      </c>
      <c r="AJ66" s="25"/>
      <c r="AK66" s="26">
        <v>900</v>
      </c>
      <c r="AL66" s="32">
        <f>ROUND(M66*AK66,0)</f>
        <v>135</v>
      </c>
      <c r="AM66">
        <v>165</v>
      </c>
      <c r="AN66">
        <v>18</v>
      </c>
      <c r="AO66">
        <v>3</v>
      </c>
      <c r="AP66">
        <v>3</v>
      </c>
      <c r="AS66">
        <v>5</v>
      </c>
      <c r="BD66">
        <v>0</v>
      </c>
      <c r="BE66">
        <v>0</v>
      </c>
      <c r="BG66" s="53">
        <f>SUM(AL66:BF67)</f>
        <v>509</v>
      </c>
      <c r="BH66" s="41">
        <f>ROUND(BG66*0%,0)</f>
        <v>0</v>
      </c>
      <c r="BI66" s="53">
        <f>BG66+BH66</f>
        <v>509</v>
      </c>
      <c r="BJ66" s="72">
        <v>-0.09</v>
      </c>
      <c r="BK66" s="53">
        <f>BI66*BJ66+BI66</f>
        <v>463.19</v>
      </c>
      <c r="BL66" s="53">
        <v>92</v>
      </c>
      <c r="BM66" s="42">
        <f>BK66/BL66</f>
        <v>5.0346739130434779</v>
      </c>
      <c r="BN66" s="42"/>
      <c r="BO66" s="73">
        <v>5</v>
      </c>
    </row>
    <row r="67" spans="1:67" x14ac:dyDescent="0.25">
      <c r="B67" s="43" t="s">
        <v>38</v>
      </c>
      <c r="C67" s="43">
        <v>9414</v>
      </c>
      <c r="D67" t="s">
        <v>144</v>
      </c>
      <c r="E67" t="s">
        <v>145</v>
      </c>
      <c r="F67" t="s">
        <v>140</v>
      </c>
      <c r="G67" t="s">
        <v>163</v>
      </c>
      <c r="H67" t="s">
        <v>157</v>
      </c>
      <c r="I67" t="s">
        <v>39</v>
      </c>
      <c r="J67" t="s">
        <v>140</v>
      </c>
      <c r="K67" t="s">
        <v>142</v>
      </c>
      <c r="L67">
        <v>40</v>
      </c>
      <c r="N67" s="32">
        <v>1.8</v>
      </c>
      <c r="O67">
        <v>500</v>
      </c>
      <c r="Q67" s="32">
        <f>N67*O67</f>
        <v>900</v>
      </c>
      <c r="W67" s="44"/>
      <c r="X67" s="44"/>
      <c r="Y67" s="44"/>
      <c r="AK67" s="23">
        <v>100</v>
      </c>
      <c r="AL67" s="32">
        <f>ROUND(N67*AK67,0)</f>
        <v>180</v>
      </c>
      <c r="BH67" s="41"/>
      <c r="BI67" s="41"/>
      <c r="BJ67" s="41"/>
      <c r="BK67" s="41"/>
      <c r="BL67" s="41"/>
      <c r="BM67" s="42"/>
      <c r="BN67" s="42"/>
    </row>
    <row r="68" spans="1:67" x14ac:dyDescent="0.25">
      <c r="A68" s="43"/>
      <c r="B68" s="43"/>
      <c r="C68" s="43"/>
      <c r="N68" s="32"/>
      <c r="Q68" s="32"/>
      <c r="W68" s="44"/>
      <c r="X68" s="44"/>
      <c r="Y68" s="44"/>
      <c r="AL68" s="32"/>
      <c r="BH68" s="41"/>
      <c r="BI68" s="41"/>
      <c r="BJ68" s="41"/>
      <c r="BK68" s="41"/>
      <c r="BL68" s="41"/>
      <c r="BM68" s="42"/>
      <c r="BN68" s="42"/>
    </row>
    <row r="69" spans="1:67" x14ac:dyDescent="0.25">
      <c r="A69" s="43" t="s">
        <v>191</v>
      </c>
      <c r="B69" s="43" t="s">
        <v>38</v>
      </c>
      <c r="C69" s="43">
        <v>9414</v>
      </c>
      <c r="D69" t="s">
        <v>144</v>
      </c>
      <c r="E69" t="s">
        <v>145</v>
      </c>
      <c r="F69" t="s">
        <v>121</v>
      </c>
      <c r="G69" t="s">
        <v>40</v>
      </c>
      <c r="H69" t="s">
        <v>157</v>
      </c>
      <c r="I69" t="s">
        <v>39</v>
      </c>
      <c r="J69" t="s">
        <v>122</v>
      </c>
      <c r="K69" t="s">
        <v>123</v>
      </c>
      <c r="L69">
        <v>200</v>
      </c>
      <c r="M69">
        <v>0.12</v>
      </c>
      <c r="O69">
        <v>500</v>
      </c>
      <c r="P69" s="15">
        <f>O69*M69</f>
        <v>60</v>
      </c>
      <c r="Q69" s="32"/>
      <c r="R69" s="21" t="s">
        <v>64</v>
      </c>
      <c r="S69" s="18">
        <v>333</v>
      </c>
      <c r="T69" s="40">
        <v>1</v>
      </c>
      <c r="U69" s="25">
        <f>S69*T69</f>
        <v>333</v>
      </c>
      <c r="V69" s="18">
        <v>65</v>
      </c>
      <c r="X69" s="27">
        <v>130</v>
      </c>
      <c r="Z69" s="18">
        <v>12</v>
      </c>
      <c r="AA69" s="27">
        <v>13</v>
      </c>
      <c r="AC69" s="27">
        <v>8</v>
      </c>
      <c r="AE69" s="25">
        <f>SUM(U69:AD69)</f>
        <v>561</v>
      </c>
      <c r="AF69" s="25">
        <f>ROUND(AE69*10%,0)</f>
        <v>56</v>
      </c>
      <c r="AG69" s="25">
        <v>0</v>
      </c>
      <c r="AH69" s="25">
        <v>0</v>
      </c>
      <c r="AI69" s="25">
        <v>0</v>
      </c>
      <c r="AJ69" s="25"/>
      <c r="AK69" s="26">
        <f>SUM(AE69:AI69)</f>
        <v>617</v>
      </c>
      <c r="AL69" s="32">
        <f>ROUND(M69*AK69,0)</f>
        <v>74</v>
      </c>
      <c r="AM69">
        <v>101</v>
      </c>
      <c r="AN69">
        <v>18</v>
      </c>
      <c r="AO69">
        <v>3</v>
      </c>
      <c r="AP69">
        <v>3</v>
      </c>
      <c r="AQ69">
        <v>0</v>
      </c>
      <c r="AR69">
        <v>0</v>
      </c>
      <c r="AS69">
        <v>10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 s="53">
        <f>SUM(AL69:BF70)</f>
        <v>428</v>
      </c>
      <c r="BH69" s="72">
        <v>0.02</v>
      </c>
      <c r="BI69" s="53">
        <f>BG69*BH69+BG69</f>
        <v>436.56</v>
      </c>
      <c r="BJ69" s="72">
        <v>0.02</v>
      </c>
      <c r="BK69" s="53">
        <f>BI69*BJ69+BI69</f>
        <v>445.2912</v>
      </c>
      <c r="BL69" s="53">
        <v>93</v>
      </c>
      <c r="BM69" s="42">
        <f>BK69/BL69</f>
        <v>4.7880774193548383</v>
      </c>
      <c r="BN69" s="42"/>
      <c r="BO69" s="73">
        <v>2.65</v>
      </c>
    </row>
    <row r="70" spans="1:67" x14ac:dyDescent="0.25">
      <c r="A70" s="43"/>
      <c r="B70" s="43" t="s">
        <v>38</v>
      </c>
      <c r="C70" s="43">
        <v>9414</v>
      </c>
      <c r="D70" t="s">
        <v>144</v>
      </c>
      <c r="E70" t="s">
        <v>145</v>
      </c>
      <c r="F70" t="s">
        <v>140</v>
      </c>
      <c r="G70" t="s">
        <v>163</v>
      </c>
      <c r="H70" t="s">
        <v>157</v>
      </c>
      <c r="I70" t="s">
        <v>39</v>
      </c>
      <c r="L70">
        <v>40</v>
      </c>
      <c r="N70" s="32">
        <v>1.8</v>
      </c>
      <c r="O70">
        <v>500</v>
      </c>
      <c r="Q70" s="32">
        <f>N70*O70</f>
        <v>900</v>
      </c>
      <c r="R70" s="21" t="s">
        <v>172</v>
      </c>
      <c r="W70" s="44"/>
      <c r="X70" s="44"/>
      <c r="Y70" s="44"/>
      <c r="AK70" s="23">
        <v>120</v>
      </c>
      <c r="AL70" s="32">
        <f>ROUND(N70*AK70,0)</f>
        <v>216</v>
      </c>
      <c r="BH70" s="41"/>
      <c r="BI70" s="41"/>
      <c r="BJ70" s="41"/>
      <c r="BK70" s="41"/>
      <c r="BL70" s="41"/>
      <c r="BM70" s="42"/>
      <c r="BN70" s="42"/>
    </row>
    <row r="71" spans="1:67" x14ac:dyDescent="0.25">
      <c r="A71" s="43"/>
      <c r="B71" s="43"/>
      <c r="C71" s="43"/>
      <c r="N71" s="32"/>
      <c r="Q71" s="32"/>
      <c r="W71" s="44"/>
      <c r="X71" s="44"/>
      <c r="Y71" s="44"/>
      <c r="AL71" s="32"/>
      <c r="BH71" s="41"/>
      <c r="BI71" s="41"/>
      <c r="BJ71" s="41"/>
      <c r="BK71" s="41"/>
      <c r="BL71" s="41"/>
      <c r="BM71" s="42"/>
      <c r="BN71" s="42"/>
    </row>
    <row r="72" spans="1:67" x14ac:dyDescent="0.25">
      <c r="A72" s="43"/>
      <c r="B72" s="43"/>
      <c r="C72" s="43"/>
      <c r="N72" s="32"/>
      <c r="Q72" s="32"/>
      <c r="W72" s="44"/>
      <c r="X72" s="44"/>
      <c r="Y72" s="44"/>
      <c r="AL72" s="32"/>
      <c r="BH72" s="41"/>
      <c r="BI72" s="41"/>
      <c r="BJ72" s="41"/>
      <c r="BK72" s="41"/>
      <c r="BL72" s="41"/>
      <c r="BM72" s="42"/>
      <c r="BN72" s="42"/>
    </row>
    <row r="73" spans="1:67" x14ac:dyDescent="0.25">
      <c r="A73" s="43"/>
      <c r="B73" s="43"/>
      <c r="C73" s="43"/>
      <c r="N73" s="32"/>
      <c r="Q73" s="32"/>
      <c r="W73" s="44"/>
      <c r="X73" s="44"/>
      <c r="Y73" s="44"/>
      <c r="AL73" s="32"/>
      <c r="BH73" s="41"/>
      <c r="BI73" s="41"/>
      <c r="BJ73" s="41"/>
      <c r="BK73" s="41"/>
      <c r="BL73" s="41"/>
      <c r="BM73" s="42"/>
      <c r="BN73" s="42"/>
    </row>
    <row r="74" spans="1:67" x14ac:dyDescent="0.25">
      <c r="A74" s="4">
        <v>13</v>
      </c>
      <c r="B74" s="43" t="s">
        <v>38</v>
      </c>
      <c r="C74" s="43">
        <v>9420</v>
      </c>
      <c r="D74" t="s">
        <v>173</v>
      </c>
      <c r="E74" t="s">
        <v>174</v>
      </c>
      <c r="F74" s="43" t="s">
        <v>175</v>
      </c>
      <c r="G74" t="s">
        <v>40</v>
      </c>
      <c r="H74" t="s">
        <v>157</v>
      </c>
      <c r="I74" t="s">
        <v>39</v>
      </c>
      <c r="J74" s="43" t="s">
        <v>175</v>
      </c>
      <c r="K74" t="s">
        <v>176</v>
      </c>
      <c r="L74">
        <v>240</v>
      </c>
      <c r="M74">
        <v>0.20499999999999999</v>
      </c>
      <c r="O74">
        <v>500</v>
      </c>
      <c r="P74" s="15">
        <f>O74*M74</f>
        <v>102.5</v>
      </c>
      <c r="R74" s="21" t="s">
        <v>172</v>
      </c>
      <c r="AK74" s="23">
        <v>900</v>
      </c>
      <c r="AL74" s="32">
        <f>ROUND(M74*AK74,0)</f>
        <v>185</v>
      </c>
      <c r="AM74">
        <v>80</v>
      </c>
      <c r="AN74">
        <v>18</v>
      </c>
      <c r="AO74">
        <v>3</v>
      </c>
      <c r="AP74">
        <v>3</v>
      </c>
      <c r="AS74">
        <v>10</v>
      </c>
      <c r="BA74">
        <v>10</v>
      </c>
      <c r="BG74" s="53">
        <f>SUM(AL74:BF76)</f>
        <v>380</v>
      </c>
      <c r="BH74" s="41">
        <f>ROUND(BG74*3%,0)</f>
        <v>11</v>
      </c>
      <c r="BI74" s="53">
        <f>BG74+BH74</f>
        <v>391</v>
      </c>
      <c r="BJ74" s="72">
        <v>0.06</v>
      </c>
      <c r="BK74" s="53">
        <f>BI74*BJ74+BI74</f>
        <v>414.46</v>
      </c>
      <c r="BL74" s="53">
        <v>92</v>
      </c>
      <c r="BM74" s="42">
        <f>BK74/BL74</f>
        <v>4.5049999999999999</v>
      </c>
      <c r="BO74" s="73">
        <v>4.5</v>
      </c>
    </row>
    <row r="75" spans="1:67" x14ac:dyDescent="0.25">
      <c r="B75" s="43" t="s">
        <v>38</v>
      </c>
      <c r="C75" s="43">
        <v>9420</v>
      </c>
      <c r="D75" t="s">
        <v>173</v>
      </c>
      <c r="E75" t="s">
        <v>174</v>
      </c>
      <c r="F75" s="43" t="s">
        <v>175</v>
      </c>
      <c r="G75" t="s">
        <v>153</v>
      </c>
      <c r="H75" t="s">
        <v>157</v>
      </c>
      <c r="I75" t="s">
        <v>39</v>
      </c>
      <c r="J75" t="s">
        <v>140</v>
      </c>
      <c r="K75" t="s">
        <v>142</v>
      </c>
      <c r="L75">
        <v>40</v>
      </c>
      <c r="N75">
        <v>1.3</v>
      </c>
      <c r="O75">
        <v>500</v>
      </c>
      <c r="Q75" s="32">
        <f>N75*O75</f>
        <v>650</v>
      </c>
      <c r="R75" s="21" t="s">
        <v>172</v>
      </c>
      <c r="AK75" s="23">
        <v>50</v>
      </c>
      <c r="AL75" s="32">
        <f>ROUND(N75*AK75,0)</f>
        <v>65</v>
      </c>
    </row>
    <row r="76" spans="1:67" x14ac:dyDescent="0.25">
      <c r="A76" s="43"/>
      <c r="B76" s="43" t="s">
        <v>38</v>
      </c>
      <c r="C76" s="43">
        <v>9420</v>
      </c>
      <c r="D76" t="s">
        <v>173</v>
      </c>
      <c r="E76" t="s">
        <v>174</v>
      </c>
      <c r="F76" s="43" t="s">
        <v>180</v>
      </c>
      <c r="G76" s="43" t="s">
        <v>183</v>
      </c>
      <c r="H76" t="s">
        <v>157</v>
      </c>
      <c r="I76" t="s">
        <v>39</v>
      </c>
      <c r="J76" t="s">
        <v>18</v>
      </c>
      <c r="K76" t="s">
        <v>109</v>
      </c>
      <c r="L76">
        <v>160</v>
      </c>
      <c r="M76">
        <v>0.01</v>
      </c>
      <c r="O76">
        <v>500</v>
      </c>
      <c r="P76" s="15">
        <f>O76*M76</f>
        <v>5</v>
      </c>
      <c r="Q76" s="32"/>
      <c r="R76" s="21" t="s">
        <v>182</v>
      </c>
      <c r="S76" s="18">
        <v>346</v>
      </c>
      <c r="T76" s="40">
        <v>1</v>
      </c>
      <c r="U76" s="25">
        <f>S76*T76</f>
        <v>346</v>
      </c>
      <c r="V76" s="18">
        <v>13</v>
      </c>
      <c r="W76" s="27">
        <v>0</v>
      </c>
      <c r="X76" s="27">
        <v>175</v>
      </c>
      <c r="Z76" s="27">
        <v>12</v>
      </c>
      <c r="AA76" s="27">
        <v>13</v>
      </c>
      <c r="AE76" s="25">
        <f>SUM(U76:AD76)</f>
        <v>559</v>
      </c>
      <c r="AF76" s="25">
        <f>ROUND(AE76*10%,0)</f>
        <v>56</v>
      </c>
      <c r="AG76" s="25">
        <v>0</v>
      </c>
      <c r="AH76" s="25">
        <v>0</v>
      </c>
      <c r="AI76" s="25">
        <v>0</v>
      </c>
      <c r="AJ76" s="25"/>
      <c r="AK76" s="26">
        <f>SUM(AE76:AI76)</f>
        <v>615</v>
      </c>
      <c r="AL76" s="32">
        <f>ROUND(M76*AK76,0)</f>
        <v>6</v>
      </c>
      <c r="BG76" s="53"/>
      <c r="BH76" s="41"/>
      <c r="BI76" s="53"/>
      <c r="BJ76" s="41"/>
      <c r="BK76" s="53"/>
      <c r="BL76" s="53"/>
      <c r="BM76" s="42"/>
    </row>
    <row r="78" spans="1:67" x14ac:dyDescent="0.25">
      <c r="A78" s="4">
        <v>14</v>
      </c>
      <c r="B78" s="43" t="s">
        <v>38</v>
      </c>
      <c r="C78" s="43">
        <v>9420</v>
      </c>
      <c r="D78" t="s">
        <v>177</v>
      </c>
      <c r="E78" t="s">
        <v>178</v>
      </c>
      <c r="F78" t="s">
        <v>140</v>
      </c>
      <c r="G78" t="s">
        <v>40</v>
      </c>
      <c r="H78" t="s">
        <v>157</v>
      </c>
      <c r="I78" t="s">
        <v>179</v>
      </c>
      <c r="J78" t="s">
        <v>140</v>
      </c>
      <c r="K78" t="s">
        <v>142</v>
      </c>
      <c r="L78">
        <v>40</v>
      </c>
      <c r="N78">
        <v>1.2</v>
      </c>
      <c r="O78">
        <v>500</v>
      </c>
      <c r="Q78" s="32">
        <f>N78*O78</f>
        <v>600</v>
      </c>
      <c r="R78" s="21" t="s">
        <v>172</v>
      </c>
      <c r="AK78" s="23">
        <v>100</v>
      </c>
      <c r="AL78" s="32">
        <f>ROUND(N78*AK78,0)</f>
        <v>120</v>
      </c>
      <c r="AM78">
        <v>67</v>
      </c>
      <c r="AN78">
        <v>18</v>
      </c>
      <c r="AO78">
        <v>3</v>
      </c>
      <c r="AP78">
        <v>3</v>
      </c>
      <c r="AQ78">
        <v>9</v>
      </c>
      <c r="AS78">
        <v>10</v>
      </c>
      <c r="BD78">
        <v>22</v>
      </c>
      <c r="BG78" s="53">
        <f>SUM(AL78:BF79)</f>
        <v>301</v>
      </c>
      <c r="BH78" s="41">
        <f>ROUND(BG78*3%,0)</f>
        <v>9</v>
      </c>
      <c r="BI78" s="53">
        <f>BG78+BH78</f>
        <v>310</v>
      </c>
      <c r="BJ78" s="72">
        <v>0.11</v>
      </c>
      <c r="BK78" s="53">
        <f>BI78*BJ78+BI78</f>
        <v>344.1</v>
      </c>
      <c r="BL78" s="53">
        <v>92</v>
      </c>
      <c r="BM78" s="42">
        <f>BK78/BL78</f>
        <v>3.7402173913043479</v>
      </c>
      <c r="BO78" s="73">
        <v>3.75</v>
      </c>
    </row>
    <row r="79" spans="1:67" x14ac:dyDescent="0.25">
      <c r="B79" s="43" t="s">
        <v>38</v>
      </c>
      <c r="C79" s="43">
        <v>9420</v>
      </c>
      <c r="D79" t="s">
        <v>177</v>
      </c>
      <c r="E79" t="s">
        <v>178</v>
      </c>
      <c r="F79" t="s">
        <v>180</v>
      </c>
      <c r="G79" t="s">
        <v>181</v>
      </c>
      <c r="H79" t="s">
        <v>157</v>
      </c>
      <c r="I79" t="s">
        <v>39</v>
      </c>
      <c r="J79" t="s">
        <v>18</v>
      </c>
      <c r="K79" t="s">
        <v>109</v>
      </c>
      <c r="L79">
        <v>160</v>
      </c>
      <c r="M79">
        <v>0.08</v>
      </c>
      <c r="O79">
        <v>500</v>
      </c>
      <c r="P79" s="15">
        <f>O79*M79</f>
        <v>40</v>
      </c>
      <c r="R79" s="21" t="s">
        <v>182</v>
      </c>
      <c r="S79" s="18">
        <v>346</v>
      </c>
      <c r="T79" s="40">
        <v>1</v>
      </c>
      <c r="U79" s="25">
        <f>S79*T79</f>
        <v>346</v>
      </c>
      <c r="V79" s="18">
        <v>13</v>
      </c>
      <c r="W79" s="27">
        <v>0</v>
      </c>
      <c r="X79" s="27">
        <v>175</v>
      </c>
      <c r="Z79" s="27">
        <v>12</v>
      </c>
      <c r="AA79" s="27">
        <v>13</v>
      </c>
      <c r="AE79" s="25">
        <f>SUM(U79:AD79)</f>
        <v>559</v>
      </c>
      <c r="AF79" s="25">
        <f>ROUND(AE79*10%,0)</f>
        <v>56</v>
      </c>
      <c r="AG79" s="25">
        <v>0</v>
      </c>
      <c r="AH79" s="25">
        <v>0</v>
      </c>
      <c r="AI79" s="25">
        <v>0</v>
      </c>
      <c r="AJ79" s="25"/>
      <c r="AK79" s="26">
        <f>SUM(AE79:AI79)</f>
        <v>615</v>
      </c>
      <c r="AL79" s="32">
        <f>ROUND(M79*AK79,0)</f>
        <v>49</v>
      </c>
    </row>
  </sheetData>
  <autoFilter ref="B2:P64"/>
  <mergeCells count="8">
    <mergeCell ref="BQ1:BQ2"/>
    <mergeCell ref="BP1:BP2"/>
    <mergeCell ref="BM1:BM2"/>
    <mergeCell ref="AQ1:AR1"/>
    <mergeCell ref="T1:T2"/>
    <mergeCell ref="U1:U2"/>
    <mergeCell ref="BO1:BO2"/>
    <mergeCell ref="BL1:BL2"/>
  </mergeCells>
  <pageMargins left="0" right="0" top="0" bottom="0" header="0.31496062992125984" footer="0.31496062992125984"/>
  <pageSetup paperSize="8" scale="70" orientation="landscape" r:id="rId1"/>
  <colBreaks count="2" manualBreakCount="2">
    <brk id="17" max="1048575" man="1"/>
    <brk id="43" max="5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O22"/>
  <sheetViews>
    <sheetView topLeftCell="B1" workbookViewId="0">
      <selection activeCell="K14" sqref="K14"/>
    </sheetView>
  </sheetViews>
  <sheetFormatPr defaultRowHeight="15" x14ac:dyDescent="0.25"/>
  <cols>
    <col min="4" max="4" width="28.85546875" bestFit="1" customWidth="1"/>
    <col min="5" max="5" width="28.42578125" bestFit="1" customWidth="1"/>
    <col min="6" max="6" width="21.7109375" bestFit="1" customWidth="1"/>
    <col min="7" max="7" width="5" style="43" bestFit="1" customWidth="1"/>
    <col min="8" max="8" width="30.7109375" bestFit="1" customWidth="1"/>
    <col min="9" max="9" width="14.28515625" customWidth="1"/>
    <col min="10" max="10" width="10.140625" bestFit="1" customWidth="1"/>
    <col min="11" max="11" width="37.7109375" bestFit="1" customWidth="1"/>
    <col min="12" max="12" width="10.140625" bestFit="1" customWidth="1"/>
    <col min="13" max="13" width="13.5703125" bestFit="1" customWidth="1"/>
    <col min="14" max="14" width="10.140625" bestFit="1" customWidth="1"/>
    <col min="15" max="15" width="28.42578125" bestFit="1" customWidth="1"/>
  </cols>
  <sheetData>
    <row r="2" spans="4:15" x14ac:dyDescent="0.25">
      <c r="D2" s="191" t="s">
        <v>170</v>
      </c>
      <c r="E2" s="191"/>
      <c r="F2" s="191"/>
      <c r="G2" s="191"/>
      <c r="H2" s="191"/>
      <c r="I2" s="191"/>
      <c r="J2" s="191"/>
      <c r="K2" s="191"/>
    </row>
    <row r="3" spans="4:15" x14ac:dyDescent="0.25">
      <c r="D3" s="8" t="s">
        <v>21</v>
      </c>
      <c r="E3" s="9" t="s">
        <v>22</v>
      </c>
      <c r="F3" s="8" t="s">
        <v>23</v>
      </c>
      <c r="G3" s="9" t="s">
        <v>8</v>
      </c>
      <c r="H3" s="10" t="s">
        <v>24</v>
      </c>
      <c r="I3" s="5" t="s">
        <v>25</v>
      </c>
      <c r="J3" s="5" t="s">
        <v>33</v>
      </c>
      <c r="K3" s="6" t="s">
        <v>34</v>
      </c>
      <c r="L3" s="6" t="s">
        <v>35</v>
      </c>
      <c r="M3" t="s">
        <v>36</v>
      </c>
      <c r="N3" t="s">
        <v>33</v>
      </c>
      <c r="O3" t="s">
        <v>37</v>
      </c>
    </row>
    <row r="4" spans="4:15" x14ac:dyDescent="0.25">
      <c r="D4" s="66" t="s">
        <v>157</v>
      </c>
      <c r="E4" s="6" t="s">
        <v>122</v>
      </c>
      <c r="F4" s="6" t="s">
        <v>123</v>
      </c>
      <c r="G4" s="5">
        <v>180</v>
      </c>
      <c r="H4" s="10" t="s">
        <v>166</v>
      </c>
      <c r="I4" s="7"/>
      <c r="J4" s="7"/>
      <c r="K4" s="6"/>
      <c r="L4" s="6"/>
    </row>
    <row r="5" spans="4:15" x14ac:dyDescent="0.25">
      <c r="D5" s="66" t="s">
        <v>96</v>
      </c>
      <c r="E5" s="6" t="s">
        <v>82</v>
      </c>
      <c r="F5" s="6" t="s">
        <v>83</v>
      </c>
      <c r="G5" s="5">
        <v>280</v>
      </c>
      <c r="H5" s="10" t="s">
        <v>168</v>
      </c>
      <c r="I5" s="7"/>
      <c r="J5" s="7"/>
      <c r="K5" s="6"/>
      <c r="L5" s="6"/>
    </row>
    <row r="6" spans="4:15" x14ac:dyDescent="0.25">
      <c r="D6" s="66" t="s">
        <v>162</v>
      </c>
      <c r="E6" s="6" t="s">
        <v>99</v>
      </c>
      <c r="F6" s="6" t="s">
        <v>83</v>
      </c>
      <c r="G6" s="5">
        <v>280</v>
      </c>
      <c r="H6" s="10" t="s">
        <v>168</v>
      </c>
      <c r="I6" s="7"/>
      <c r="J6" s="7"/>
      <c r="K6" s="11"/>
      <c r="L6" s="6"/>
    </row>
    <row r="7" spans="4:15" x14ac:dyDescent="0.25">
      <c r="D7" s="66" t="s">
        <v>81</v>
      </c>
      <c r="E7" s="66" t="s">
        <v>18</v>
      </c>
      <c r="F7" s="6" t="s">
        <v>109</v>
      </c>
      <c r="G7" s="5">
        <v>140</v>
      </c>
      <c r="H7" s="10" t="s">
        <v>167</v>
      </c>
      <c r="I7" s="7"/>
      <c r="J7" s="7"/>
      <c r="K7" s="11"/>
      <c r="L7" s="6"/>
      <c r="M7" s="14"/>
      <c r="N7" s="14"/>
      <c r="O7" s="65"/>
    </row>
    <row r="8" spans="4:15" x14ac:dyDescent="0.25">
      <c r="D8" s="66" t="s">
        <v>171</v>
      </c>
      <c r="E8" s="6" t="s">
        <v>99</v>
      </c>
      <c r="F8" s="6" t="s">
        <v>83</v>
      </c>
      <c r="G8" s="5">
        <v>280</v>
      </c>
      <c r="H8" s="10" t="s">
        <v>169</v>
      </c>
      <c r="I8" s="7"/>
      <c r="J8" s="7"/>
      <c r="K8" s="11"/>
      <c r="L8" s="6"/>
    </row>
    <row r="9" spans="4:15" x14ac:dyDescent="0.25">
      <c r="D9" s="5"/>
      <c r="E9" s="5"/>
      <c r="F9" s="9"/>
      <c r="G9" s="9"/>
      <c r="H9" s="10"/>
      <c r="I9" s="7"/>
      <c r="J9" s="7"/>
      <c r="K9" s="11"/>
      <c r="L9" s="12"/>
    </row>
    <row r="13" spans="4:15" x14ac:dyDescent="0.25">
      <c r="D13" s="6" t="s">
        <v>10</v>
      </c>
      <c r="E13" s="6" t="s">
        <v>197</v>
      </c>
      <c r="F13" s="6" t="s">
        <v>194</v>
      </c>
      <c r="G13" s="5" t="s">
        <v>8</v>
      </c>
      <c r="H13" s="5" t="s">
        <v>195</v>
      </c>
    </row>
    <row r="14" spans="4:15" x14ac:dyDescent="0.25">
      <c r="D14" s="6" t="s">
        <v>198</v>
      </c>
      <c r="E14" s="6" t="s">
        <v>18</v>
      </c>
      <c r="F14" s="6" t="s">
        <v>196</v>
      </c>
      <c r="G14" s="5">
        <v>180</v>
      </c>
      <c r="H14" s="5">
        <v>4.8499999999999996</v>
      </c>
    </row>
    <row r="15" spans="4:15" x14ac:dyDescent="0.25">
      <c r="D15" s="6" t="s">
        <v>198</v>
      </c>
      <c r="E15" s="6" t="s">
        <v>199</v>
      </c>
      <c r="F15" s="6" t="s">
        <v>200</v>
      </c>
      <c r="G15" s="5">
        <v>180</v>
      </c>
      <c r="H15" s="5">
        <v>4.95</v>
      </c>
    </row>
    <row r="16" spans="4:15" x14ac:dyDescent="0.25">
      <c r="D16" s="6" t="s">
        <v>198</v>
      </c>
      <c r="E16" s="6" t="s">
        <v>18</v>
      </c>
      <c r="F16" s="6" t="s">
        <v>196</v>
      </c>
      <c r="G16" s="5">
        <v>200</v>
      </c>
      <c r="H16" s="5">
        <v>4.95</v>
      </c>
    </row>
    <row r="17" spans="4:8" x14ac:dyDescent="0.25">
      <c r="D17" s="6" t="s">
        <v>198</v>
      </c>
      <c r="E17" s="6" t="s">
        <v>199</v>
      </c>
      <c r="F17" s="6" t="s">
        <v>200</v>
      </c>
      <c r="G17" s="5">
        <v>200</v>
      </c>
      <c r="H17" s="5">
        <v>5.05</v>
      </c>
    </row>
    <row r="18" spans="4:8" x14ac:dyDescent="0.25">
      <c r="D18" s="6"/>
      <c r="E18" s="6"/>
      <c r="F18" s="6"/>
      <c r="G18" s="5"/>
      <c r="H18" s="5"/>
    </row>
    <row r="19" spans="4:8" x14ac:dyDescent="0.25">
      <c r="D19" s="6" t="s">
        <v>201</v>
      </c>
      <c r="E19" s="6" t="s">
        <v>18</v>
      </c>
      <c r="F19" s="6" t="s">
        <v>196</v>
      </c>
      <c r="G19" s="5">
        <v>180</v>
      </c>
      <c r="H19" s="76">
        <v>4.8</v>
      </c>
    </row>
    <row r="20" spans="4:8" x14ac:dyDescent="0.25">
      <c r="D20" s="6" t="s">
        <v>201</v>
      </c>
      <c r="E20" s="6" t="s">
        <v>199</v>
      </c>
      <c r="F20" s="6" t="s">
        <v>200</v>
      </c>
      <c r="G20" s="5">
        <v>180</v>
      </c>
      <c r="H20" s="76">
        <v>4.9000000000000004</v>
      </c>
    </row>
    <row r="21" spans="4:8" x14ac:dyDescent="0.25">
      <c r="D21" s="6" t="s">
        <v>201</v>
      </c>
      <c r="E21" s="6" t="s">
        <v>18</v>
      </c>
      <c r="F21" s="6" t="s">
        <v>196</v>
      </c>
      <c r="G21" s="5">
        <v>200</v>
      </c>
      <c r="H21" s="76">
        <v>4.9000000000000004</v>
      </c>
    </row>
    <row r="22" spans="4:8" x14ac:dyDescent="0.25">
      <c r="D22" s="6" t="s">
        <v>201</v>
      </c>
      <c r="E22" s="6" t="s">
        <v>199</v>
      </c>
      <c r="F22" s="6" t="s">
        <v>200</v>
      </c>
      <c r="G22" s="5">
        <v>200</v>
      </c>
      <c r="H22" s="76">
        <v>5</v>
      </c>
    </row>
  </sheetData>
  <mergeCells count="1">
    <mergeCell ref="D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STYLE WISE FABRIC WORKING-MD</vt:lpstr>
      <vt:lpstr>NK-W28-9414-Final SMS PO detail</vt:lpstr>
      <vt:lpstr>STYLE WISE FABRIC WORKING</vt:lpstr>
      <vt:lpstr>Lab dips-2909</vt:lpstr>
      <vt:lpstr>'NK-W28-9414-Final SMS PO detail'!Print_Area</vt:lpstr>
      <vt:lpstr>'STYLE WISE FABRIC WORKING'!Print_Area</vt:lpstr>
      <vt:lpstr>'STYLE WISE FABRIC WORKING-MD'!Print_Area</vt:lpstr>
      <vt:lpstr>'NK-W28-9414-Final SMS PO detail'!Print_Titles</vt:lpstr>
      <vt:lpstr>'STYLE WISE FABRIC WORKING'!Print_Titles</vt:lpstr>
      <vt:lpstr>'STYLE WISE FABRIC WORKING-MD'!Print_Titles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krillo Merch</dc:creator>
  <cp:lastModifiedBy>krillo Merch</cp:lastModifiedBy>
  <cp:lastPrinted>2026-06-15T06:00:47Z</cp:lastPrinted>
  <dcterms:created xsi:type="dcterms:W3CDTF">2025-11-13T09:22:59Z</dcterms:created>
  <dcterms:modified xsi:type="dcterms:W3CDTF">2026-06-27T08:20:30Z</dcterms:modified>
</cp:coreProperties>
</file>